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ttps://dsrc-my.sharepoint.com/personal/raja_d_dsrc_in/Documents/Documents/"/>
    </mc:Choice>
  </mc:AlternateContent>
  <xr:revisionPtr revIDLastSave="938" documentId="8_{CC4EC03E-755A-497A-84F7-5BB925EB399A}" xr6:coauthVersionLast="47" xr6:coauthVersionMax="47" xr10:uidLastSave="{E8700640-B2CD-4866-B706-3F151424E7D4}"/>
  <bookViews>
    <workbookView xWindow="-108" yWindow="-108" windowWidth="23256" windowHeight="12720" activeTab="1" xr2:uid="{2F3E5324-5E1C-45A5-B9F7-8028C61D8340}"/>
  </bookViews>
  <sheets>
    <sheet name="Sheet1" sheetId="1" r:id="rId1"/>
    <sheet name="2-Feb-2022" sheetId="2"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18" i="2" l="1"/>
  <c r="F113" i="2"/>
  <c r="F108" i="2"/>
  <c r="F99" i="2"/>
  <c r="F95" i="2"/>
  <c r="F90" i="2"/>
  <c r="F83" i="2"/>
  <c r="F75" i="2"/>
  <c r="F68" i="2"/>
  <c r="F62" i="2"/>
  <c r="F56" i="2"/>
  <c r="F50" i="2"/>
  <c r="F43" i="2"/>
  <c r="F37" i="2"/>
  <c r="F29" i="2"/>
  <c r="F25" i="2"/>
  <c r="F16" i="2"/>
  <c r="F2" i="2"/>
</calcChain>
</file>

<file path=xl/sharedStrings.xml><?xml version="1.0" encoding="utf-8"?>
<sst xmlns="http://schemas.openxmlformats.org/spreadsheetml/2006/main" count="451" uniqueCount="242">
  <si>
    <t>ID</t>
  </si>
  <si>
    <t>Title</t>
  </si>
  <si>
    <t>State</t>
  </si>
  <si>
    <t>Assigned To</t>
  </si>
  <si>
    <t>Story Points</t>
  </si>
  <si>
    <t>Kanban screen to automatically refresh, showing changes made by other users</t>
  </si>
  <si>
    <t>Closed</t>
  </si>
  <si>
    <t>Raja Dashnamoorthy</t>
  </si>
  <si>
    <t>User option to pin the search bar open for a given queue</t>
  </si>
  <si>
    <t>Date reference handling in the V5 store UI - DATEVISIBLE, DATECLEAR, NAME</t>
  </si>
  <si>
    <t>Store Documents CLEARGRIDAFTERUPDATE</t>
  </si>
  <si>
    <t>(Bug Fix) Document to store - deployment browser cache bug</t>
  </si>
  <si>
    <t>Sprint</t>
  </si>
  <si>
    <t>Job counts in Kanban column header</t>
  </si>
  <si>
    <t>Refresh Kanban after drag operation is completed</t>
  </si>
  <si>
    <t>Add 3rd icon slot to Kanban card (middle)</t>
  </si>
  <si>
    <t>Colour border around each Kanban card</t>
  </si>
  <si>
    <t>Convert purple Kanban toastr warnings to amber style (consistent with general application warnings)</t>
  </si>
  <si>
    <t>Tooltips on kanban card icons</t>
  </si>
  <si>
    <t>Misleading error message when entering Alpha into numeric fields</t>
  </si>
  <si>
    <t>(Bug fix) Page numbers on store page get refreshed on add to existing page and redirect</t>
  </si>
  <si>
    <t>Columns in the Add To Existing list (add date and pages)</t>
  </si>
  <si>
    <t>Housekeeping-Enable Swagger in test environment</t>
  </si>
  <si>
    <t>18225: No separation between indexing modes and Add To Existing / additional options</t>
  </si>
  <si>
    <t>(Bug fix) Page indexing mode changes after indexing - should retain the last used indexing mode</t>
  </si>
  <si>
    <t>Raja - review and use Error/warning notifications WIKI</t>
  </si>
  <si>
    <t>Document lock time-out can occur whilst user is still active (pressing keys) - silently extend document lock</t>
  </si>
  <si>
    <t>Should not show "Document cannot be split" for single page documents</t>
  </si>
  <si>
    <t>Slow response to Store button click</t>
  </si>
  <si>
    <t>Format of upload message is messy</t>
  </si>
  <si>
    <t>Store Documents layout issues at small window sizing (Tablet/Small Screen Styling Changes)</t>
  </si>
  <si>
    <t>(Bug Fix) Drop down lists in Store Documents to appear on top of image area</t>
  </si>
  <si>
    <t>(Bug Fix) Cannot use drop-downs in Firefox browser</t>
  </si>
  <si>
    <t>Bug fix - Warning message if date is blank is messy</t>
  </si>
  <si>
    <t>Bug fix - Document date value is not reset between documents</t>
  </si>
  <si>
    <t>Stop controls moving up and down on the store documents page</t>
  </si>
  <si>
    <t>Pages to store styling changes</t>
  </si>
  <si>
    <t>Clear References / Add to Existing button changes</t>
  </si>
  <si>
    <t>Document Viewer Thumbnail Styling Changes</t>
  </si>
  <si>
    <t>General control alignment on Documents to Store Page</t>
  </si>
  <si>
    <t>References Dynamic Form Changes</t>
  </si>
  <si>
    <t>(UX fix) Scroll invalid fields into view</t>
  </si>
  <si>
    <t>Speed Development - R&amp;D Vuex store for sticky settings</t>
  </si>
  <si>
    <t>Vue3 training (conversion from Vue2 to Vue3) - Raja</t>
  </si>
  <si>
    <t>BugFix-Console errors with Error Page</t>
  </si>
  <si>
    <t>Required Reference field on Document to store page is behaving oddly</t>
  </si>
  <si>
    <t>Updating lists in store document to support related lists i.e. selection in one list filters the items in another list</t>
  </si>
  <si>
    <t>Housekeeping - R&amp;D Exclusion of example modules from production</t>
  </si>
  <si>
    <t>Create Reindex Control component</t>
  </si>
  <si>
    <t>Documents To Store page</t>
  </si>
  <si>
    <t>(Bug Fix) List of documents to store does not refresh if there are multiple files uploaded and some fail</t>
  </si>
  <si>
    <t>Restrict reference values to configured max or fixed lengths</t>
  </si>
  <si>
    <t>Create Thumbnail Store</t>
  </si>
  <si>
    <t>Document To Store Api - Re-Index Control - GET</t>
  </si>
  <si>
    <t>As a user, I want to drag a file to upload, so I can add new documents for indexing</t>
  </si>
  <si>
    <t>As a user, I want a progress bar during file upload, so I can see the progress of the upload</t>
  </si>
  <si>
    <t>As a user, I want a visual indication of the folder into which a file will be uploaded, so I can see where the file will be stored</t>
  </si>
  <si>
    <t>Separate document file and data methods from DocumentService</t>
  </si>
  <si>
    <t>Duration</t>
  </si>
  <si>
    <t>Comments</t>
  </si>
  <si>
    <t>As a user, I want to open a job from a Kanban board, so that I can view the document and process the job</t>
  </si>
  <si>
    <t>Change validation messages to use validation type toaster rather than report an error</t>
  </si>
  <si>
    <t>Refactor - Remove workflow dependencies from shared components needed for storing documents</t>
  </si>
  <si>
    <t>Refactor workflow to use shared components</t>
  </si>
  <si>
    <t>BUG FIX: Unable to move the cards one position up for the cards at position 3rd order positions</t>
  </si>
  <si>
    <t>July 13- 27</t>
  </si>
  <si>
    <t>Container screen - top level component to show multiple columns of data</t>
  </si>
  <si>
    <t>Job Card list sizing behaviour</t>
  </si>
  <si>
    <t>Job Card - mouse hover display</t>
  </si>
  <si>
    <t>Filtering on the Kanban board</t>
  </si>
  <si>
    <t>(R&amp;D) As a user, I want the job form horizontal tabs to pop up, so I can save a click when entering data</t>
  </si>
  <si>
    <t>Wall board mode not supports the additional work field popups</t>
  </si>
  <si>
    <t>When the user attempts to move a card to an illegal lane, there's no message to inform them it was aborted</t>
  </si>
  <si>
    <t>June 25 - July 9</t>
  </si>
  <si>
    <t>1. 45 Story points completed
2. April 29, 30 and july 1 and 9 I took leave.</t>
  </si>
  <si>
    <t xml:space="preserve">1.21.5 Story points covered in this sprint, 
2.user story 16305 is carried forward to the sprint 54,
3. No Leave
</t>
  </si>
  <si>
    <t>July 29 - Aug 12</t>
  </si>
  <si>
    <t>1. 36 story points covered in this sprint
2. no Leave taken</t>
  </si>
  <si>
    <t>Aug 16-30</t>
  </si>
  <si>
    <t>Sep 2 - Sep 16</t>
  </si>
  <si>
    <t>1. 25 Story points are completed , few of them are carried over to next sprint
2. 2 days leave taken(aug 20 and 30)</t>
  </si>
  <si>
    <t>1. 33 story points completed few of them are bigger stories and carried out to next Sprint.
2. 2 days leave taken (sep 6 and 7)</t>
  </si>
  <si>
    <t>Sep17 - Oct 1</t>
  </si>
  <si>
    <t>1. 59 story points completed few of them are carried from the previous sprints.
2. no leave taken</t>
  </si>
  <si>
    <t>Oct 5-19</t>
  </si>
  <si>
    <t xml:space="preserve">1. 7 Story points completed.
2. 3 days leave taken(11, 12,13 and 15) and 2 days holiday.
3. 19 is optional holiday and it is approved but Dinesh havent give leave or comp off for that. I have sacrificed my leave and worked on 19th October.
4. and the Smart factory Came in to picture in this sprint , i have worked on the estimation for smart factory </t>
  </si>
  <si>
    <t>Oct 21 - November 4</t>
  </si>
  <si>
    <t>November 8- 22</t>
  </si>
  <si>
    <t>1. 31 story points completed.
2. No Leave taken.
3. From this sprint I started working on the Smart factory detailed design reworked on the estimation.</t>
  </si>
  <si>
    <t>1. 8 Story points completed.
2. in this sprint I have worked on the Novatiq issue.
3. Smart factory kickstart happened.
4. Nov 10, 11, 12 and 18 4 days I took leave.</t>
  </si>
  <si>
    <t>Nov 24 to Dec 8</t>
  </si>
  <si>
    <t>1. 13.25 story points completed.
2. No Leave taken.
3. Started working with Smart factory attended KT session, wokred with Team Syed and Sagar about the code set up and other plans.
4. Worked with Frank and Alex in getting Accesses , creating pipelines and repositories. 
5. Worked on the User story 6422 after fixing it during the code review Andrew has found that we need to use a different approach to implement it. so it doesnt completed and carried over to next sprint. which is 3 story point inititialy currently 10 story point big. and it is completed in sprint 64 but doesnt make the code cuttoff.
6. 18063 User story is initially 3 story point during testing we found that Matt is completed those chanhes as part of another user story. so they chnaged the story points and closed the US.
7. 18270 is the challeging bug , i spent more time on this , even it takes three days to replicate it. after i fixed we found serious of bugs. so we dicussed and decided to follow a different approch so 18651 and 18652 user stories created to implement the new user story and this user is 8 story points and closed as part of sprint 64. so effort is nearly 5 + 2 + 8 + 13.25 almost 28 story points</t>
  </si>
  <si>
    <t>Dec 10 - 24</t>
  </si>
  <si>
    <t>1. 3 story points completed, 
2. 1 day leave on Dec 13.
3. Invloved in the Design and analysis , UX design approval of next sprint user stories and also worked few of the user stories and carried to the next sprint. 
4. Involved in Smart factory Intial code, Smart factory Dynamic data base table design, worked with Clients to get approval on the Database design, Worked with Development team, and gave them knowledge of the code and database tables. started working on the Workflow Architecure.
5. Daily get it to touch with sowmiya and helped in her interview preparation.</t>
  </si>
  <si>
    <t>Dec 28 - Jan 14</t>
  </si>
  <si>
    <t>1.26.5 story points completed.
2. No leave taken.</t>
  </si>
  <si>
    <t>Jan 18 to Feb 1</t>
  </si>
  <si>
    <t>1. 32 story points completed.
2. only two days wokred in this User story.
3. apart from this there are two other user stories 11 storypoints are carried from her to next both are completed and ready for merging but doesn’t make the cutt off.
4. sum off 85.75 user stories are completed / worked from sprint 61 to 63 which is an average of 29.25 story points which is along with Smart factory.</t>
  </si>
  <si>
    <t>Sno</t>
  </si>
  <si>
    <t>Task</t>
  </si>
  <si>
    <t>Time</t>
  </si>
  <si>
    <t>9-10 am</t>
  </si>
  <si>
    <t>Helped Boopathy for Sprint review and clarified few doubts on 6422</t>
  </si>
  <si>
    <t>11-12 pm</t>
  </si>
  <si>
    <t>18651-HLD - how to detect application updates</t>
  </si>
  <si>
    <t>Had vpn issue not able connect my RDC</t>
  </si>
  <si>
    <t>12-12.20 pm</t>
  </si>
  <si>
    <t>Had a call with HR</t>
  </si>
  <si>
    <t>12.30 to 12.45 PM</t>
  </si>
  <si>
    <t>Had call with Karthik</t>
  </si>
  <si>
    <t>Date</t>
  </si>
  <si>
    <t>1.48 to 2.37 pm</t>
  </si>
  <si>
    <t>Sprint Retro</t>
  </si>
  <si>
    <t>2.37 - 3.10 pm</t>
  </si>
  <si>
    <t>Stand up</t>
  </si>
  <si>
    <t>3:20 -3.30 pm</t>
  </si>
  <si>
    <t>Call with Andrew</t>
  </si>
  <si>
    <t>3.36pm to 4.06 pm</t>
  </si>
  <si>
    <t>Call with Boopathy on the Exploratory testing on 6422</t>
  </si>
  <si>
    <t>4.06 to 4.30 pm</t>
  </si>
  <si>
    <t>Data points preparation on esclation</t>
  </si>
  <si>
    <t>Duration (mins)</t>
  </si>
  <si>
    <t>4.30 to 6 pm</t>
  </si>
  <si>
    <t>call with Karthik</t>
  </si>
  <si>
    <t>6.09 to 6.15 pm</t>
  </si>
  <si>
    <t>6.15 to 7 pm</t>
  </si>
  <si>
    <t>Sprint review</t>
  </si>
  <si>
    <t>7-8 pm</t>
  </si>
  <si>
    <t>Total</t>
  </si>
  <si>
    <t>9-11 am</t>
  </si>
  <si>
    <t>Housekeeping - R&amp;D into vue debugging</t>
  </si>
  <si>
    <t>11 am to 1.30 pm</t>
  </si>
  <si>
    <t>2:45 pm to3.15 pm</t>
  </si>
  <si>
    <t>Arena Stand up</t>
  </si>
  <si>
    <t>3.15 pm to 3.30 pm</t>
  </si>
  <si>
    <t>3.30 pm to 4.30 pm</t>
  </si>
  <si>
    <t xml:space="preserve">Backlog refinement </t>
  </si>
  <si>
    <t>4.30 pm to 5pm</t>
  </si>
  <si>
    <t>5pm to 5.30 pm</t>
  </si>
  <si>
    <t>8 am to 3:15 pm</t>
  </si>
  <si>
    <t>3.30-5.30 pm</t>
  </si>
  <si>
    <t>Email check</t>
  </si>
  <si>
    <t>10.30 to 10.45 am</t>
  </si>
  <si>
    <t>Housekeeping - R&amp;D into vue debugging - Document preparation</t>
  </si>
  <si>
    <t>Implement browser refresh if application update has been detected - development</t>
  </si>
  <si>
    <t>10.45 to 11.30 am</t>
  </si>
  <si>
    <t>11.30-12pm</t>
  </si>
  <si>
    <t>2:45 - 3:15pm</t>
  </si>
  <si>
    <t>3.30 pm - 9pm</t>
  </si>
  <si>
    <t>11.30-2pm</t>
  </si>
  <si>
    <t>10-11.30 am</t>
  </si>
  <si>
    <t>3-3:15pm</t>
  </si>
  <si>
    <t>3:15 - 3.30pm</t>
  </si>
  <si>
    <t>Implement browser refresh if application update has been detected - development-Testing</t>
  </si>
  <si>
    <t>8.30-10.30 am</t>
  </si>
  <si>
    <t>11-12.30 pm</t>
  </si>
  <si>
    <t>1pm-2.30pm</t>
  </si>
  <si>
    <t>Standup</t>
  </si>
  <si>
    <t>3:15-3.30pm</t>
  </si>
  <si>
    <t>3.30-5.30</t>
  </si>
  <si>
    <t>3.30-7.20pm</t>
  </si>
  <si>
    <t>9-9.40pm</t>
  </si>
  <si>
    <t>5.30 to 6.45 pm</t>
  </si>
  <si>
    <t>6:15 -7.30pm</t>
  </si>
  <si>
    <t>7.30-2pm</t>
  </si>
  <si>
    <t>Stand-up</t>
  </si>
  <si>
    <t>3.15-3.30pm</t>
  </si>
  <si>
    <t>Backlog refinement session</t>
  </si>
  <si>
    <t>3.30pm to 4.30 pm</t>
  </si>
  <si>
    <t>Vue debugging document updation</t>
  </si>
  <si>
    <t>6 pm - 6.30 pm</t>
  </si>
  <si>
    <t xml:space="preserve">Call with Andrew to discuss </t>
  </si>
  <si>
    <t>Implement browser refresh if application update has been detected - development-code review changes</t>
  </si>
  <si>
    <t>3.30pm - 4 pm</t>
  </si>
  <si>
    <t>User story 18918</t>
  </si>
  <si>
    <t>4 pm - 6 pm</t>
  </si>
  <si>
    <t>6.30 pm - 8.30 pm</t>
  </si>
  <si>
    <t>11-3pm(1hour lunch)</t>
  </si>
  <si>
    <t>8-9am</t>
  </si>
  <si>
    <t>User story 18891</t>
  </si>
  <si>
    <t>9-2am</t>
  </si>
  <si>
    <t>3.15-3.35pm</t>
  </si>
  <si>
    <t xml:space="preserve">User story </t>
  </si>
  <si>
    <t>3.35-4.05pm</t>
  </si>
  <si>
    <t>4.05-6.10pm</t>
  </si>
  <si>
    <t>8-10am</t>
  </si>
  <si>
    <t>Code review -19133</t>
  </si>
  <si>
    <t>3.30-4pm</t>
  </si>
  <si>
    <t>4-5.30pm</t>
  </si>
  <si>
    <t>Backlog refinement</t>
  </si>
  <si>
    <t>11-2.15pm</t>
  </si>
  <si>
    <t>5.30-6pm</t>
  </si>
  <si>
    <t>User story 18918-bug fix</t>
  </si>
  <si>
    <t>11-1pm</t>
  </si>
  <si>
    <t>User story 18652</t>
  </si>
  <si>
    <t>6.30-7.30pm</t>
  </si>
  <si>
    <t>10-2pm</t>
  </si>
  <si>
    <t>9-2pm</t>
  </si>
  <si>
    <t>3.30-4.30pm</t>
  </si>
  <si>
    <t>4.30-5.30pm</t>
  </si>
  <si>
    <t>5.30-6.30pm</t>
  </si>
  <si>
    <t>7.30-8.30pm</t>
  </si>
  <si>
    <t>8-2pm</t>
  </si>
  <si>
    <t>Retro</t>
  </si>
  <si>
    <t>2.30-3.30pm</t>
  </si>
  <si>
    <t>User story 18380</t>
  </si>
  <si>
    <t>Sprint planning</t>
  </si>
  <si>
    <t>7.30-8pm</t>
  </si>
  <si>
    <t>S.No</t>
  </si>
  <si>
    <t xml:space="preserve">Topic </t>
  </si>
  <si>
    <t>Mstore V5-Api</t>
  </si>
  <si>
    <t>MStore V5-UI</t>
  </si>
  <si>
    <t>Mstore V5-Configurations and database tables</t>
  </si>
  <si>
    <t>Owner</t>
  </si>
  <si>
    <t>Mstore V3</t>
  </si>
  <si>
    <t>Mstore V4</t>
  </si>
  <si>
    <t>Raja</t>
  </si>
  <si>
    <t xml:space="preserve">Overall Architecture-Authentication </t>
  </si>
  <si>
    <t>Boopathy</t>
  </si>
  <si>
    <t>Timing</t>
  </si>
  <si>
    <t>11.30 to 12pm</t>
  </si>
  <si>
    <t>3.30-7.30pm</t>
  </si>
  <si>
    <t>KT document preparation</t>
  </si>
  <si>
    <t>5.30-7am</t>
  </si>
  <si>
    <t>9-10.30am</t>
  </si>
  <si>
    <t>Sowmiya developer test review</t>
  </si>
  <si>
    <t>10.30-12.30pm</t>
  </si>
  <si>
    <t xml:space="preserve">backlog refinement </t>
  </si>
  <si>
    <t>3.30 -4pm</t>
  </si>
  <si>
    <t>4.30-5pm</t>
  </si>
  <si>
    <t>5-6pm</t>
  </si>
  <si>
    <t>Call with Sowmiya</t>
  </si>
  <si>
    <t>6.60-7pm</t>
  </si>
  <si>
    <t>10-1pm</t>
  </si>
  <si>
    <t>KT-Sowmiya</t>
  </si>
  <si>
    <t>1-2pm</t>
  </si>
  <si>
    <t>3-3.15pm</t>
  </si>
  <si>
    <t>5-7pm</t>
  </si>
  <si>
    <t>User story 6422 bug fix</t>
  </si>
  <si>
    <t>10-2:15pm</t>
  </si>
  <si>
    <t>4-7.15pm</t>
  </si>
  <si>
    <t>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</si>
</sst>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theme="2"/>
        <bgColor indexed="64"/>
      </patternFill>
    </fill>
    <fill>
      <patternFill patternType="solid">
        <fgColor rgb="FF7030A0"/>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42">
    <xf numFmtId="0" fontId="0" fillId="0" borderId="0" xfId="0"/>
    <xf numFmtId="0" fontId="0" fillId="0" borderId="0" xfId="0" applyAlignment="1">
      <alignment vertical="center" wrapText="1"/>
    </xf>
    <xf numFmtId="0" fontId="2" fillId="0" borderId="0" xfId="1" applyAlignment="1">
      <alignment vertical="center" wrapText="1"/>
    </xf>
    <xf numFmtId="0" fontId="1" fillId="2" borderId="1" xfId="0" applyFont="1" applyFill="1" applyBorder="1" applyAlignment="1">
      <alignment horizontal="center" vertical="top" wrapText="1"/>
    </xf>
    <xf numFmtId="0" fontId="2" fillId="2" borderId="1" xfId="1" applyFill="1" applyBorder="1" applyAlignment="1">
      <alignment vertical="top" wrapText="1"/>
    </xf>
    <xf numFmtId="0" fontId="0" fillId="2" borderId="1" xfId="0" applyFill="1" applyBorder="1" applyAlignment="1">
      <alignment vertical="top" wrapText="1"/>
    </xf>
    <xf numFmtId="0" fontId="1" fillId="2" borderId="1" xfId="0" applyFont="1" applyFill="1" applyBorder="1" applyAlignment="1">
      <alignment vertical="top" wrapText="1"/>
    </xf>
    <xf numFmtId="0" fontId="0" fillId="0" borderId="0" xfId="0" applyAlignment="1"/>
    <xf numFmtId="0" fontId="0" fillId="2" borderId="1" xfId="0" applyFill="1" applyBorder="1" applyAlignment="1">
      <alignment horizontal="center" vertical="top"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2" borderId="0" xfId="0" applyFill="1" applyBorder="1" applyAlignment="1">
      <alignment horizontal="center" vertical="top" wrapText="1"/>
    </xf>
    <xf numFmtId="0" fontId="0" fillId="0" borderId="1" xfId="0" applyBorder="1"/>
    <xf numFmtId="16" fontId="0" fillId="0" borderId="1" xfId="0" applyNumberFormat="1" applyBorder="1"/>
    <xf numFmtId="0" fontId="0" fillId="0" borderId="1" xfId="0" applyFill="1" applyBorder="1"/>
    <xf numFmtId="0" fontId="0" fillId="4" borderId="1" xfId="0" applyFill="1" applyBorder="1"/>
    <xf numFmtId="0" fontId="0" fillId="0" borderId="1" xfId="0" applyFill="1" applyBorder="1" applyAlignment="1">
      <alignment horizontal="center" vertical="center"/>
    </xf>
    <xf numFmtId="0" fontId="1" fillId="3" borderId="1" xfId="0" applyFont="1" applyFill="1" applyBorder="1" applyAlignment="1">
      <alignment horizontal="center"/>
    </xf>
    <xf numFmtId="0" fontId="0" fillId="0" borderId="2" xfId="0" applyFill="1" applyBorder="1"/>
    <xf numFmtId="0" fontId="0" fillId="0" borderId="2" xfId="0" applyFill="1" applyBorder="1" applyAlignment="1">
      <alignment horizontal="left" wrapText="1"/>
    </xf>
    <xf numFmtId="0" fontId="0" fillId="0" borderId="1" xfId="0" applyBorder="1" applyAlignment="1">
      <alignment horizontal="left" wrapText="1"/>
    </xf>
    <xf numFmtId="0" fontId="0" fillId="0" borderId="1" xfId="0" applyFill="1" applyBorder="1" applyAlignment="1">
      <alignment horizontal="left" wrapText="1"/>
    </xf>
    <xf numFmtId="0" fontId="0" fillId="5" borderId="1" xfId="0" applyFill="1" applyBorder="1"/>
    <xf numFmtId="15" fontId="0" fillId="0" borderId="1" xfId="0" applyNumberFormat="1" applyBorder="1"/>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2" xfId="0" applyBorder="1" applyAlignment="1">
      <alignment horizontal="left" vertical="top"/>
    </xf>
    <xf numFmtId="0" fontId="0" fillId="0" borderId="4" xfId="0" applyBorder="1" applyAlignment="1">
      <alignment horizontal="left" vertical="top"/>
    </xf>
    <xf numFmtId="0" fontId="0" fillId="0" borderId="2" xfId="0" applyBorder="1" applyAlignment="1">
      <alignment horizontal="center" vertical="center" wrapText="1"/>
    </xf>
    <xf numFmtId="15" fontId="0" fillId="0" borderId="1" xfId="0" applyNumberFormat="1" applyBorder="1" applyAlignment="1">
      <alignment horizontal="center" vertical="center"/>
    </xf>
    <xf numFmtId="0" fontId="0" fillId="0" borderId="1" xfId="0" applyBorder="1" applyAlignment="1">
      <alignment horizontal="center" vertical="center"/>
    </xf>
    <xf numFmtId="15" fontId="0" fillId="0" borderId="3" xfId="0" applyNumberFormat="1" applyBorder="1" applyAlignment="1">
      <alignment horizontal="center" vertical="center"/>
    </xf>
    <xf numFmtId="15" fontId="0" fillId="0" borderId="2" xfId="0" applyNumberFormat="1" applyBorder="1" applyAlignment="1">
      <alignment horizontal="center" vertical="center"/>
    </xf>
    <xf numFmtId="15" fontId="0" fillId="0" borderId="4" xfId="0" applyNumberForma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ev.azure.com/ArenaGroupEDM/mstore%20web/_workitems/edit/17785" TargetMode="External"/><Relationship Id="rId18" Type="http://schemas.openxmlformats.org/officeDocument/2006/relationships/hyperlink" Target="https://dev.azure.com/ArenaGroupEDM/mstore%20web/_workitems/edit/18390" TargetMode="External"/><Relationship Id="rId26" Type="http://schemas.openxmlformats.org/officeDocument/2006/relationships/hyperlink" Target="https://dev.azure.com/ArenaGroupEDM/mstore%20web/_workitems/edit/18231" TargetMode="External"/><Relationship Id="rId39" Type="http://schemas.openxmlformats.org/officeDocument/2006/relationships/hyperlink" Target="https://dev.azure.com/ArenaGroupEDM/mstore%20web/_workitems/edit/17636" TargetMode="External"/><Relationship Id="rId21" Type="http://schemas.openxmlformats.org/officeDocument/2006/relationships/hyperlink" Target="https://dev.azure.com/ArenaGroupEDM/mstore%20web/_workitems/edit/18476" TargetMode="External"/><Relationship Id="rId34" Type="http://schemas.openxmlformats.org/officeDocument/2006/relationships/hyperlink" Target="https://dev.azure.com/ArenaGroupEDM/mstore%20web/_workitems/edit/18021" TargetMode="External"/><Relationship Id="rId42" Type="http://schemas.openxmlformats.org/officeDocument/2006/relationships/hyperlink" Target="https://dev.azure.com/ArenaGroupEDM/mstore%20web/_workitems/edit/15672" TargetMode="External"/><Relationship Id="rId47" Type="http://schemas.openxmlformats.org/officeDocument/2006/relationships/hyperlink" Target="https://dev.azure.com/ArenaGroupEDM/mstore%20web/_workitems/edit/16103" TargetMode="External"/><Relationship Id="rId50" Type="http://schemas.openxmlformats.org/officeDocument/2006/relationships/hyperlink" Target="https://dev.azure.com/ArenaGroupEDM/mstore%20web/_workitems/edit/16305" TargetMode="External"/><Relationship Id="rId55" Type="http://schemas.openxmlformats.org/officeDocument/2006/relationships/hyperlink" Target="https://dev.azure.com/ArenaGroupEDM/mstore%20web/_workitems/edit/16355" TargetMode="External"/><Relationship Id="rId63" Type="http://schemas.openxmlformats.org/officeDocument/2006/relationships/hyperlink" Target="https://dev.azure.com/ArenaGroupEDM/mstore%20web/_workitems/edit/16624" TargetMode="External"/><Relationship Id="rId7" Type="http://schemas.openxmlformats.org/officeDocument/2006/relationships/hyperlink" Target="https://dev.azure.com/ArenaGroupEDM/mstore%20web/_workitems/edit/18647" TargetMode="External"/><Relationship Id="rId2" Type="http://schemas.openxmlformats.org/officeDocument/2006/relationships/hyperlink" Target="https://dev.azure.com/ArenaGroupEDM/mstore%20web/_workitems/edit/18648" TargetMode="External"/><Relationship Id="rId16" Type="http://schemas.openxmlformats.org/officeDocument/2006/relationships/hyperlink" Target="https://dev.azure.com/ArenaGroupEDM/mstore%20web/_workitems/edit/18590" TargetMode="External"/><Relationship Id="rId20" Type="http://schemas.openxmlformats.org/officeDocument/2006/relationships/hyperlink" Target="https://dev.azure.com/ArenaGroupEDM/mstore%20web/_workitems/edit/18469" TargetMode="External"/><Relationship Id="rId29" Type="http://schemas.openxmlformats.org/officeDocument/2006/relationships/hyperlink" Target="https://dev.azure.com/ArenaGroupEDM/mstore%20web/_workitems/edit/18061" TargetMode="External"/><Relationship Id="rId41" Type="http://schemas.openxmlformats.org/officeDocument/2006/relationships/hyperlink" Target="https://dev.azure.com/ArenaGroupEDM/mstore%20web/_workitems/edit/15570" TargetMode="External"/><Relationship Id="rId54" Type="http://schemas.openxmlformats.org/officeDocument/2006/relationships/hyperlink" Target="https://dev.azure.com/ArenaGroupEDM/mstore%20web/_workitems/edit/16280" TargetMode="External"/><Relationship Id="rId62" Type="http://schemas.openxmlformats.org/officeDocument/2006/relationships/hyperlink" Target="https://dev.azure.com/ArenaGroupEDM/mstore%20web/_workitems/edit/16623" TargetMode="External"/><Relationship Id="rId1" Type="http://schemas.openxmlformats.org/officeDocument/2006/relationships/hyperlink" Target="https://dev.azure.com/ArenaGroupEDM/mstore%20web/_workitems/edit/17666" TargetMode="External"/><Relationship Id="rId6" Type="http://schemas.openxmlformats.org/officeDocument/2006/relationships/hyperlink" Target="https://dev.azure.com/ArenaGroupEDM/mstore%20web/_workitems/edit/17665" TargetMode="External"/><Relationship Id="rId11" Type="http://schemas.openxmlformats.org/officeDocument/2006/relationships/hyperlink" Target="https://dev.azure.com/ArenaGroupEDM/mstore%20web/_workitems/edit/17662" TargetMode="External"/><Relationship Id="rId24" Type="http://schemas.openxmlformats.org/officeDocument/2006/relationships/hyperlink" Target="https://dev.azure.com/ArenaGroupEDM/mstore%20web/_workitems/edit/18031" TargetMode="External"/><Relationship Id="rId32" Type="http://schemas.openxmlformats.org/officeDocument/2006/relationships/hyperlink" Target="https://dev.azure.com/ArenaGroupEDM/mstore%20web/_workitems/edit/18066" TargetMode="External"/><Relationship Id="rId37" Type="http://schemas.openxmlformats.org/officeDocument/2006/relationships/hyperlink" Target="https://dev.azure.com/ArenaGroupEDM/mstore%20web/_workitems/edit/17638" TargetMode="External"/><Relationship Id="rId40" Type="http://schemas.openxmlformats.org/officeDocument/2006/relationships/hyperlink" Target="https://dev.azure.com/ArenaGroupEDM/mstore%20web/_workitems/edit/17492" TargetMode="External"/><Relationship Id="rId45" Type="http://schemas.openxmlformats.org/officeDocument/2006/relationships/hyperlink" Target="https://dev.azure.com/ArenaGroupEDM/mstore%20web/_workitems/edit/17232" TargetMode="External"/><Relationship Id="rId53" Type="http://schemas.openxmlformats.org/officeDocument/2006/relationships/hyperlink" Target="https://dev.azure.com/ArenaGroupEDM/mstore%20web/_workitems/edit/16727" TargetMode="External"/><Relationship Id="rId58" Type="http://schemas.openxmlformats.org/officeDocument/2006/relationships/hyperlink" Target="https://dev.azure.com/ArenaGroupEDM/mstore%20web/_workitems/edit/16134" TargetMode="External"/><Relationship Id="rId5" Type="http://schemas.openxmlformats.org/officeDocument/2006/relationships/hyperlink" Target="https://dev.azure.com/ArenaGroupEDM/mstore%20web/_workitems/edit/18270" TargetMode="External"/><Relationship Id="rId15" Type="http://schemas.openxmlformats.org/officeDocument/2006/relationships/hyperlink" Target="https://dev.azure.com/ArenaGroupEDM/mstore%20web/_workitems/edit/18662" TargetMode="External"/><Relationship Id="rId23" Type="http://schemas.openxmlformats.org/officeDocument/2006/relationships/hyperlink" Target="https://dev.azure.com/ArenaGroupEDM/mstore%20web/_workitems/edit/18063" TargetMode="External"/><Relationship Id="rId28" Type="http://schemas.openxmlformats.org/officeDocument/2006/relationships/hyperlink" Target="https://dev.azure.com/ArenaGroupEDM/mstore%20web/_workitems/edit/17680" TargetMode="External"/><Relationship Id="rId36" Type="http://schemas.openxmlformats.org/officeDocument/2006/relationships/hyperlink" Target="https://dev.azure.com/ArenaGroupEDM/mstore%20web/_workitems/edit/17949" TargetMode="External"/><Relationship Id="rId49" Type="http://schemas.openxmlformats.org/officeDocument/2006/relationships/hyperlink" Target="https://dev.azure.com/ArenaGroupEDM/mstore%20web/_workitems/edit/16304" TargetMode="External"/><Relationship Id="rId57" Type="http://schemas.openxmlformats.org/officeDocument/2006/relationships/hyperlink" Target="https://dev.azure.com/ArenaGroupEDM/mstore%20web/_workitems/edit/16130" TargetMode="External"/><Relationship Id="rId61" Type="http://schemas.openxmlformats.org/officeDocument/2006/relationships/hyperlink" Target="https://dev.azure.com/ArenaGroupEDM/mstore%20web/_workitems/edit/16353" TargetMode="External"/><Relationship Id="rId10" Type="http://schemas.openxmlformats.org/officeDocument/2006/relationships/hyperlink" Target="https://dev.azure.com/ArenaGroupEDM/mstore%20web/_workitems/edit/18152" TargetMode="External"/><Relationship Id="rId19" Type="http://schemas.openxmlformats.org/officeDocument/2006/relationships/hyperlink" Target="https://dev.azure.com/ArenaGroupEDM/mstore%20web/_workitems/edit/18393" TargetMode="External"/><Relationship Id="rId31" Type="http://schemas.openxmlformats.org/officeDocument/2006/relationships/hyperlink" Target="https://dev.azure.com/ArenaGroupEDM/mstore%20web/_workitems/edit/18065" TargetMode="External"/><Relationship Id="rId44" Type="http://schemas.openxmlformats.org/officeDocument/2006/relationships/hyperlink" Target="https://dev.azure.com/ArenaGroupEDM/mstore%20web/_workitems/edit/17522" TargetMode="External"/><Relationship Id="rId52" Type="http://schemas.openxmlformats.org/officeDocument/2006/relationships/hyperlink" Target="https://dev.azure.com/ArenaGroupEDM/mstore%20web/_workitems/edit/16722" TargetMode="External"/><Relationship Id="rId60" Type="http://schemas.openxmlformats.org/officeDocument/2006/relationships/hyperlink" Target="https://dev.azure.com/ArenaGroupEDM/mstore%20web/_workitems/edit/16138" TargetMode="External"/><Relationship Id="rId4" Type="http://schemas.openxmlformats.org/officeDocument/2006/relationships/hyperlink" Target="https://dev.azure.com/ArenaGroupEDM/mstore%20web/_workitems/edit/17326" TargetMode="External"/><Relationship Id="rId9" Type="http://schemas.openxmlformats.org/officeDocument/2006/relationships/hyperlink" Target="https://dev.azure.com/ArenaGroupEDM/mstore%20web/_workitems/edit/17663" TargetMode="External"/><Relationship Id="rId14" Type="http://schemas.openxmlformats.org/officeDocument/2006/relationships/hyperlink" Target="https://dev.azure.com/ArenaGroupEDM/mstore%20web/_workitems/edit/17690" TargetMode="External"/><Relationship Id="rId22" Type="http://schemas.openxmlformats.org/officeDocument/2006/relationships/hyperlink" Target="https://dev.azure.com/ArenaGroupEDM/mstore%20web/_workitems/edit/18514" TargetMode="External"/><Relationship Id="rId27" Type="http://schemas.openxmlformats.org/officeDocument/2006/relationships/hyperlink" Target="https://dev.azure.com/ArenaGroupEDM/mstore%20web/_workitems/edit/18361" TargetMode="External"/><Relationship Id="rId30" Type="http://schemas.openxmlformats.org/officeDocument/2006/relationships/hyperlink" Target="https://dev.azure.com/ArenaGroupEDM/mstore%20web/_workitems/edit/18064" TargetMode="External"/><Relationship Id="rId35" Type="http://schemas.openxmlformats.org/officeDocument/2006/relationships/hyperlink" Target="https://dev.azure.com/ArenaGroupEDM/mstore%20web/_workitems/edit/17735" TargetMode="External"/><Relationship Id="rId43" Type="http://schemas.openxmlformats.org/officeDocument/2006/relationships/hyperlink" Target="https://dev.azure.com/ArenaGroupEDM/mstore%20web/_workitems/edit/17478" TargetMode="External"/><Relationship Id="rId48" Type="http://schemas.openxmlformats.org/officeDocument/2006/relationships/hyperlink" Target="https://dev.azure.com/ArenaGroupEDM/mstore%20web/_workitems/edit/16303" TargetMode="External"/><Relationship Id="rId56" Type="http://schemas.openxmlformats.org/officeDocument/2006/relationships/hyperlink" Target="https://dev.azure.com/ArenaGroupEDM/mstore%20web/_workitems/edit/16705" TargetMode="External"/><Relationship Id="rId64" Type="http://schemas.openxmlformats.org/officeDocument/2006/relationships/printerSettings" Target="../printerSettings/printerSettings1.bin"/><Relationship Id="rId8" Type="http://schemas.openxmlformats.org/officeDocument/2006/relationships/hyperlink" Target="https://dev.azure.com/ArenaGroupEDM/mstore%20web/_workitems/edit/18649" TargetMode="External"/><Relationship Id="rId51" Type="http://schemas.openxmlformats.org/officeDocument/2006/relationships/hyperlink" Target="https://dev.azure.com/ArenaGroupEDM/mstore%20web/_workitems/edit/16994" TargetMode="External"/><Relationship Id="rId3" Type="http://schemas.openxmlformats.org/officeDocument/2006/relationships/hyperlink" Target="https://dev.azure.com/ArenaGroupEDM/mstore%20web/_workitems/edit/17324" TargetMode="External"/><Relationship Id="rId12" Type="http://schemas.openxmlformats.org/officeDocument/2006/relationships/hyperlink" Target="https://dev.azure.com/ArenaGroupEDM/mstore%20web/_workitems/edit/18513" TargetMode="External"/><Relationship Id="rId17" Type="http://schemas.openxmlformats.org/officeDocument/2006/relationships/hyperlink" Target="https://dev.azure.com/ArenaGroupEDM/mstore%20web/_workitems/edit/18221" TargetMode="External"/><Relationship Id="rId25" Type="http://schemas.openxmlformats.org/officeDocument/2006/relationships/hyperlink" Target="https://dev.azure.com/ArenaGroupEDM/mstore%20web/_workitems/edit/18272" TargetMode="External"/><Relationship Id="rId33" Type="http://schemas.openxmlformats.org/officeDocument/2006/relationships/hyperlink" Target="https://dev.azure.com/ArenaGroupEDM/mstore%20web/_workitems/edit/18067" TargetMode="External"/><Relationship Id="rId38" Type="http://schemas.openxmlformats.org/officeDocument/2006/relationships/hyperlink" Target="https://dev.azure.com/ArenaGroupEDM/mstore%20web/_workitems/edit/17644" TargetMode="External"/><Relationship Id="rId46" Type="http://schemas.openxmlformats.org/officeDocument/2006/relationships/hyperlink" Target="https://dev.azure.com/ArenaGroupEDM/mstore%20web/_workitems/edit/15570" TargetMode="External"/><Relationship Id="rId59" Type="http://schemas.openxmlformats.org/officeDocument/2006/relationships/hyperlink" Target="https://dev.azure.com/ArenaGroupEDM/mstore%20web/_workitems/edit/1613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BA7BA-5082-4CF6-8454-BA40E5E3A616}">
  <dimension ref="A1:H66"/>
  <sheetViews>
    <sheetView workbookViewId="0">
      <selection activeCell="G7" sqref="G7:G16"/>
    </sheetView>
  </sheetViews>
  <sheetFormatPr defaultRowHeight="14.4" x14ac:dyDescent="0.3"/>
  <cols>
    <col min="1" max="1" width="9.33203125" customWidth="1"/>
    <col min="2" max="2" width="44.88671875" customWidth="1"/>
    <col min="4" max="4" width="17.88671875" customWidth="1"/>
    <col min="5" max="5" width="11.109375" style="7" bestFit="1" customWidth="1"/>
    <col min="7" max="7" width="23.77734375" customWidth="1"/>
    <col min="8" max="8" width="80.88671875" customWidth="1"/>
  </cols>
  <sheetData>
    <row r="1" spans="1:8" x14ac:dyDescent="0.3">
      <c r="A1" s="3" t="s">
        <v>0</v>
      </c>
      <c r="B1" s="3" t="s">
        <v>1</v>
      </c>
      <c r="C1" s="3" t="s">
        <v>2</v>
      </c>
      <c r="D1" s="3" t="s">
        <v>3</v>
      </c>
      <c r="E1" s="6" t="s">
        <v>4</v>
      </c>
      <c r="F1" s="6" t="s">
        <v>12</v>
      </c>
      <c r="G1" s="3" t="s">
        <v>58</v>
      </c>
      <c r="H1" s="3" t="s">
        <v>59</v>
      </c>
    </row>
    <row r="2" spans="1:8" ht="28.8" x14ac:dyDescent="0.3">
      <c r="A2" s="4">
        <v>17666</v>
      </c>
      <c r="B2" s="5" t="s">
        <v>5</v>
      </c>
      <c r="C2" s="5" t="s">
        <v>6</v>
      </c>
      <c r="D2" s="5" t="s">
        <v>7</v>
      </c>
      <c r="E2" s="8">
        <v>5</v>
      </c>
      <c r="F2" s="9">
        <v>64</v>
      </c>
      <c r="G2" s="28" t="s">
        <v>96</v>
      </c>
      <c r="H2" s="25" t="s">
        <v>97</v>
      </c>
    </row>
    <row r="3" spans="1:8" ht="28.8" x14ac:dyDescent="0.3">
      <c r="A3" s="4">
        <v>18648</v>
      </c>
      <c r="B3" s="5" t="s">
        <v>8</v>
      </c>
      <c r="C3" s="5" t="s">
        <v>6</v>
      </c>
      <c r="D3" s="5" t="s">
        <v>7</v>
      </c>
      <c r="E3" s="8">
        <v>8</v>
      </c>
      <c r="F3" s="9">
        <v>64</v>
      </c>
      <c r="G3" s="29"/>
      <c r="H3" s="27"/>
    </row>
    <row r="4" spans="1:8" ht="28.8" x14ac:dyDescent="0.3">
      <c r="A4" s="4">
        <v>17324</v>
      </c>
      <c r="B4" s="5" t="s">
        <v>9</v>
      </c>
      <c r="C4" s="5" t="s">
        <v>6</v>
      </c>
      <c r="D4" s="5" t="s">
        <v>7</v>
      </c>
      <c r="E4" s="8">
        <v>10</v>
      </c>
      <c r="F4" s="9">
        <v>64</v>
      </c>
      <c r="G4" s="29"/>
      <c r="H4" s="27"/>
    </row>
    <row r="5" spans="1:8" ht="28.8" x14ac:dyDescent="0.3">
      <c r="A5" s="4">
        <v>17326</v>
      </c>
      <c r="B5" s="5" t="s">
        <v>10</v>
      </c>
      <c r="C5" s="5" t="s">
        <v>6</v>
      </c>
      <c r="D5" s="5" t="s">
        <v>7</v>
      </c>
      <c r="E5" s="8">
        <v>1</v>
      </c>
      <c r="F5" s="9">
        <v>64</v>
      </c>
      <c r="G5" s="29"/>
      <c r="H5" s="27"/>
    </row>
    <row r="6" spans="1:8" ht="28.8" x14ac:dyDescent="0.3">
      <c r="A6" s="4">
        <v>18270</v>
      </c>
      <c r="B6" s="5" t="s">
        <v>11</v>
      </c>
      <c r="C6" s="5" t="s">
        <v>6</v>
      </c>
      <c r="D6" s="5" t="s">
        <v>7</v>
      </c>
      <c r="E6" s="8">
        <v>8</v>
      </c>
      <c r="F6" s="9">
        <v>64</v>
      </c>
      <c r="G6" s="30"/>
      <c r="H6" s="26"/>
    </row>
    <row r="7" spans="1:8" ht="28.8" x14ac:dyDescent="0.3">
      <c r="A7" s="4">
        <v>17665</v>
      </c>
      <c r="B7" s="5" t="s">
        <v>13</v>
      </c>
      <c r="C7" s="5" t="s">
        <v>6</v>
      </c>
      <c r="D7" s="5" t="s">
        <v>7</v>
      </c>
      <c r="E7" s="8">
        <v>2</v>
      </c>
      <c r="F7" s="9">
        <v>63</v>
      </c>
      <c r="G7" s="28" t="s">
        <v>94</v>
      </c>
      <c r="H7" s="25" t="s">
        <v>95</v>
      </c>
    </row>
    <row r="8" spans="1:8" ht="28.8" x14ac:dyDescent="0.3">
      <c r="A8" s="4">
        <v>18647</v>
      </c>
      <c r="B8" s="5" t="s">
        <v>14</v>
      </c>
      <c r="C8" s="5" t="s">
        <v>6</v>
      </c>
      <c r="D8" s="5" t="s">
        <v>7</v>
      </c>
      <c r="E8" s="8">
        <v>0</v>
      </c>
      <c r="F8" s="9">
        <v>63</v>
      </c>
      <c r="G8" s="29"/>
      <c r="H8" s="27"/>
    </row>
    <row r="9" spans="1:8" ht="28.8" x14ac:dyDescent="0.3">
      <c r="A9" s="4">
        <v>18649</v>
      </c>
      <c r="B9" s="5" t="s">
        <v>15</v>
      </c>
      <c r="C9" s="5" t="s">
        <v>6</v>
      </c>
      <c r="D9" s="5" t="s">
        <v>7</v>
      </c>
      <c r="E9" s="8">
        <v>3</v>
      </c>
      <c r="F9" s="9">
        <v>63</v>
      </c>
      <c r="G9" s="29"/>
      <c r="H9" s="27"/>
    </row>
    <row r="10" spans="1:8" ht="28.8" x14ac:dyDescent="0.3">
      <c r="A10" s="4">
        <v>17663</v>
      </c>
      <c r="B10" s="5" t="s">
        <v>16</v>
      </c>
      <c r="C10" s="5" t="s">
        <v>6</v>
      </c>
      <c r="D10" s="5" t="s">
        <v>7</v>
      </c>
      <c r="E10" s="8">
        <v>3</v>
      </c>
      <c r="F10" s="9">
        <v>63</v>
      </c>
      <c r="G10" s="29"/>
      <c r="H10" s="27"/>
    </row>
    <row r="11" spans="1:8" ht="28.8" x14ac:dyDescent="0.3">
      <c r="A11" s="4">
        <v>18152</v>
      </c>
      <c r="B11" s="5" t="s">
        <v>17</v>
      </c>
      <c r="C11" s="5" t="s">
        <v>6</v>
      </c>
      <c r="D11" s="5" t="s">
        <v>7</v>
      </c>
      <c r="E11" s="8">
        <v>1</v>
      </c>
      <c r="F11" s="9">
        <v>63</v>
      </c>
      <c r="G11" s="29"/>
      <c r="H11" s="27"/>
    </row>
    <row r="12" spans="1:8" ht="28.8" x14ac:dyDescent="0.3">
      <c r="A12" s="4">
        <v>17662</v>
      </c>
      <c r="B12" s="5" t="s">
        <v>18</v>
      </c>
      <c r="C12" s="5" t="s">
        <v>6</v>
      </c>
      <c r="D12" s="5" t="s">
        <v>7</v>
      </c>
      <c r="E12" s="8">
        <v>3</v>
      </c>
      <c r="F12" s="9">
        <v>63</v>
      </c>
      <c r="G12" s="29"/>
      <c r="H12" s="27"/>
    </row>
    <row r="13" spans="1:8" ht="28.8" x14ac:dyDescent="0.3">
      <c r="A13" s="4">
        <v>18513</v>
      </c>
      <c r="B13" s="5" t="s">
        <v>19</v>
      </c>
      <c r="C13" s="5" t="s">
        <v>6</v>
      </c>
      <c r="D13" s="5" t="s">
        <v>7</v>
      </c>
      <c r="E13" s="8">
        <v>8</v>
      </c>
      <c r="F13" s="9">
        <v>63</v>
      </c>
      <c r="G13" s="29"/>
      <c r="H13" s="27"/>
    </row>
    <row r="14" spans="1:8" ht="28.8" x14ac:dyDescent="0.3">
      <c r="A14" s="4">
        <v>17785</v>
      </c>
      <c r="B14" s="5" t="s">
        <v>20</v>
      </c>
      <c r="C14" s="5" t="s">
        <v>6</v>
      </c>
      <c r="D14" s="5" t="s">
        <v>7</v>
      </c>
      <c r="E14" s="8">
        <v>3</v>
      </c>
      <c r="F14" s="9">
        <v>63</v>
      </c>
      <c r="G14" s="29"/>
      <c r="H14" s="27"/>
    </row>
    <row r="15" spans="1:8" ht="28.8" x14ac:dyDescent="0.3">
      <c r="A15" s="4">
        <v>17690</v>
      </c>
      <c r="B15" s="5" t="s">
        <v>21</v>
      </c>
      <c r="C15" s="5" t="s">
        <v>6</v>
      </c>
      <c r="D15" s="5" t="s">
        <v>7</v>
      </c>
      <c r="E15" s="8">
        <v>3</v>
      </c>
      <c r="F15" s="9">
        <v>63</v>
      </c>
      <c r="G15" s="29"/>
      <c r="H15" s="27"/>
    </row>
    <row r="16" spans="1:8" ht="28.8" x14ac:dyDescent="0.3">
      <c r="A16" s="4">
        <v>18662</v>
      </c>
      <c r="B16" s="5" t="s">
        <v>22</v>
      </c>
      <c r="C16" s="5" t="s">
        <v>6</v>
      </c>
      <c r="D16" s="5" t="s">
        <v>7</v>
      </c>
      <c r="E16" s="8">
        <v>0.5</v>
      </c>
      <c r="F16" s="9">
        <v>63</v>
      </c>
      <c r="G16" s="30"/>
      <c r="H16" s="26"/>
    </row>
    <row r="17" spans="1:8" ht="61.8" customHeight="1" x14ac:dyDescent="0.3">
      <c r="A17" s="4">
        <v>18590</v>
      </c>
      <c r="B17" s="5" t="s">
        <v>23</v>
      </c>
      <c r="C17" s="5" t="s">
        <v>6</v>
      </c>
      <c r="D17" s="5" t="s">
        <v>7</v>
      </c>
      <c r="E17" s="8">
        <v>1</v>
      </c>
      <c r="F17" s="9">
        <v>62</v>
      </c>
      <c r="G17" s="31" t="s">
        <v>92</v>
      </c>
      <c r="H17" s="25" t="s">
        <v>93</v>
      </c>
    </row>
    <row r="18" spans="1:8" ht="69" customHeight="1" x14ac:dyDescent="0.3">
      <c r="A18" s="4">
        <v>18221</v>
      </c>
      <c r="B18" s="5" t="s">
        <v>24</v>
      </c>
      <c r="C18" s="5" t="s">
        <v>6</v>
      </c>
      <c r="D18" s="5" t="s">
        <v>7</v>
      </c>
      <c r="E18" s="8">
        <v>2</v>
      </c>
      <c r="F18" s="9">
        <v>62</v>
      </c>
      <c r="G18" s="32"/>
      <c r="H18" s="26"/>
    </row>
    <row r="19" spans="1:8" ht="28.8" x14ac:dyDescent="0.3">
      <c r="A19" s="4">
        <v>18390</v>
      </c>
      <c r="B19" s="5" t="s">
        <v>25</v>
      </c>
      <c r="C19" s="5" t="s">
        <v>6</v>
      </c>
      <c r="D19" s="5" t="s">
        <v>7</v>
      </c>
      <c r="E19" s="8">
        <v>0.25</v>
      </c>
      <c r="F19" s="9">
        <v>61</v>
      </c>
      <c r="G19" s="31" t="s">
        <v>90</v>
      </c>
      <c r="H19" s="25" t="s">
        <v>91</v>
      </c>
    </row>
    <row r="20" spans="1:8" ht="28.8" x14ac:dyDescent="0.3">
      <c r="A20" s="4">
        <v>18393</v>
      </c>
      <c r="B20" s="5" t="s">
        <v>26</v>
      </c>
      <c r="C20" s="5" t="s">
        <v>6</v>
      </c>
      <c r="D20" s="5" t="s">
        <v>7</v>
      </c>
      <c r="E20" s="8">
        <v>3</v>
      </c>
      <c r="F20" s="9">
        <v>61</v>
      </c>
      <c r="G20" s="36"/>
      <c r="H20" s="27"/>
    </row>
    <row r="21" spans="1:8" ht="28.8" x14ac:dyDescent="0.3">
      <c r="A21" s="4">
        <v>18469</v>
      </c>
      <c r="B21" s="5" t="s">
        <v>27</v>
      </c>
      <c r="C21" s="5" t="s">
        <v>6</v>
      </c>
      <c r="D21" s="5" t="s">
        <v>7</v>
      </c>
      <c r="E21" s="8">
        <v>1</v>
      </c>
      <c r="F21" s="9">
        <v>61</v>
      </c>
      <c r="G21" s="36"/>
      <c r="H21" s="27"/>
    </row>
    <row r="22" spans="1:8" ht="28.8" x14ac:dyDescent="0.3">
      <c r="A22" s="4">
        <v>18476</v>
      </c>
      <c r="B22" s="5" t="s">
        <v>28</v>
      </c>
      <c r="C22" s="5" t="s">
        <v>6</v>
      </c>
      <c r="D22" s="5" t="s">
        <v>7</v>
      </c>
      <c r="E22" s="8">
        <v>5</v>
      </c>
      <c r="F22" s="9">
        <v>61</v>
      </c>
      <c r="G22" s="36"/>
      <c r="H22" s="27"/>
    </row>
    <row r="23" spans="1:8" ht="28.8" x14ac:dyDescent="0.3">
      <c r="A23" s="4">
        <v>18514</v>
      </c>
      <c r="B23" s="5" t="s">
        <v>29</v>
      </c>
      <c r="C23" s="5" t="s">
        <v>6</v>
      </c>
      <c r="D23" s="5" t="s">
        <v>7</v>
      </c>
      <c r="E23" s="8">
        <v>3</v>
      </c>
      <c r="F23" s="9">
        <v>61</v>
      </c>
      <c r="G23" s="36"/>
      <c r="H23" s="27"/>
    </row>
    <row r="24" spans="1:8" ht="112.8" customHeight="1" x14ac:dyDescent="0.3">
      <c r="A24" s="4">
        <v>18063</v>
      </c>
      <c r="B24" s="5" t="s">
        <v>30</v>
      </c>
      <c r="C24" s="5" t="s">
        <v>6</v>
      </c>
      <c r="D24" s="5" t="s">
        <v>7</v>
      </c>
      <c r="E24" s="8">
        <v>1</v>
      </c>
      <c r="F24" s="9">
        <v>61</v>
      </c>
      <c r="G24" s="32"/>
      <c r="H24" s="26"/>
    </row>
    <row r="25" spans="1:8" ht="28.8" x14ac:dyDescent="0.3">
      <c r="A25" s="4">
        <v>18031</v>
      </c>
      <c r="B25" s="5" t="s">
        <v>31</v>
      </c>
      <c r="C25" s="5" t="s">
        <v>6</v>
      </c>
      <c r="D25" s="5" t="s">
        <v>7</v>
      </c>
      <c r="E25" s="8">
        <v>3</v>
      </c>
      <c r="F25" s="9">
        <v>60</v>
      </c>
      <c r="G25" s="31" t="s">
        <v>87</v>
      </c>
      <c r="H25" s="25" t="s">
        <v>89</v>
      </c>
    </row>
    <row r="26" spans="1:8" ht="28.8" x14ac:dyDescent="0.3">
      <c r="A26" s="4">
        <v>18272</v>
      </c>
      <c r="B26" s="5" t="s">
        <v>32</v>
      </c>
      <c r="C26" s="5" t="s">
        <v>6</v>
      </c>
      <c r="D26" s="5" t="s">
        <v>7</v>
      </c>
      <c r="E26" s="8">
        <v>3</v>
      </c>
      <c r="F26" s="9">
        <v>60</v>
      </c>
      <c r="G26" s="36"/>
      <c r="H26" s="27"/>
    </row>
    <row r="27" spans="1:8" ht="28.8" x14ac:dyDescent="0.3">
      <c r="A27" s="4">
        <v>18231</v>
      </c>
      <c r="B27" s="5" t="s">
        <v>33</v>
      </c>
      <c r="C27" s="5" t="s">
        <v>6</v>
      </c>
      <c r="D27" s="5" t="s">
        <v>7</v>
      </c>
      <c r="E27" s="8">
        <v>1</v>
      </c>
      <c r="F27" s="9">
        <v>60</v>
      </c>
      <c r="G27" s="36"/>
      <c r="H27" s="27"/>
    </row>
    <row r="28" spans="1:8" ht="28.8" x14ac:dyDescent="0.3">
      <c r="A28" s="4">
        <v>18361</v>
      </c>
      <c r="B28" s="5" t="s">
        <v>34</v>
      </c>
      <c r="C28" s="5" t="s">
        <v>6</v>
      </c>
      <c r="D28" s="5" t="s">
        <v>7</v>
      </c>
      <c r="E28" s="8">
        <v>1</v>
      </c>
      <c r="F28" s="9">
        <v>60</v>
      </c>
      <c r="G28" s="32"/>
      <c r="H28" s="26"/>
    </row>
    <row r="29" spans="1:8" ht="28.8" x14ac:dyDescent="0.3">
      <c r="A29" s="4">
        <v>17680</v>
      </c>
      <c r="B29" s="5" t="s">
        <v>35</v>
      </c>
      <c r="C29" s="5" t="s">
        <v>6</v>
      </c>
      <c r="D29" s="5" t="s">
        <v>7</v>
      </c>
      <c r="E29" s="8">
        <v>8</v>
      </c>
      <c r="F29" s="9">
        <v>59</v>
      </c>
      <c r="G29" s="31" t="s">
        <v>86</v>
      </c>
      <c r="H29" s="25" t="s">
        <v>88</v>
      </c>
    </row>
    <row r="30" spans="1:8" ht="28.8" x14ac:dyDescent="0.3">
      <c r="A30" s="4">
        <v>18061</v>
      </c>
      <c r="B30" s="5" t="s">
        <v>36</v>
      </c>
      <c r="C30" s="5" t="s">
        <v>6</v>
      </c>
      <c r="D30" s="5" t="s">
        <v>7</v>
      </c>
      <c r="E30" s="8">
        <v>3</v>
      </c>
      <c r="F30" s="9">
        <v>59</v>
      </c>
      <c r="G30" s="36"/>
      <c r="H30" s="27"/>
    </row>
    <row r="31" spans="1:8" ht="28.8" x14ac:dyDescent="0.3">
      <c r="A31" s="4">
        <v>18064</v>
      </c>
      <c r="B31" s="5" t="s">
        <v>37</v>
      </c>
      <c r="C31" s="5" t="s">
        <v>6</v>
      </c>
      <c r="D31" s="5" t="s">
        <v>7</v>
      </c>
      <c r="E31" s="8">
        <v>3</v>
      </c>
      <c r="F31" s="9">
        <v>59</v>
      </c>
      <c r="G31" s="36"/>
      <c r="H31" s="27"/>
    </row>
    <row r="32" spans="1:8" ht="28.8" x14ac:dyDescent="0.3">
      <c r="A32" s="4">
        <v>18065</v>
      </c>
      <c r="B32" s="5" t="s">
        <v>38</v>
      </c>
      <c r="C32" s="5" t="s">
        <v>6</v>
      </c>
      <c r="D32" s="5" t="s">
        <v>7</v>
      </c>
      <c r="E32" s="8">
        <v>2</v>
      </c>
      <c r="F32" s="9">
        <v>59</v>
      </c>
      <c r="G32" s="36"/>
      <c r="H32" s="27"/>
    </row>
    <row r="33" spans="1:8" ht="28.8" x14ac:dyDescent="0.3">
      <c r="A33" s="4">
        <v>18066</v>
      </c>
      <c r="B33" s="5" t="s">
        <v>39</v>
      </c>
      <c r="C33" s="5" t="s">
        <v>6</v>
      </c>
      <c r="D33" s="5" t="s">
        <v>7</v>
      </c>
      <c r="E33" s="8">
        <v>3</v>
      </c>
      <c r="F33" s="9">
        <v>59</v>
      </c>
      <c r="G33" s="36"/>
      <c r="H33" s="27"/>
    </row>
    <row r="34" spans="1:8" ht="28.8" x14ac:dyDescent="0.3">
      <c r="A34" s="4">
        <v>18067</v>
      </c>
      <c r="B34" s="5" t="s">
        <v>40</v>
      </c>
      <c r="C34" s="5" t="s">
        <v>6</v>
      </c>
      <c r="D34" s="5" t="s">
        <v>7</v>
      </c>
      <c r="E34" s="8">
        <v>3</v>
      </c>
      <c r="F34" s="9">
        <v>59</v>
      </c>
      <c r="G34" s="36"/>
      <c r="H34" s="27"/>
    </row>
    <row r="35" spans="1:8" ht="28.8" x14ac:dyDescent="0.3">
      <c r="A35" s="4">
        <v>18021</v>
      </c>
      <c r="B35" s="5" t="s">
        <v>41</v>
      </c>
      <c r="C35" s="5" t="s">
        <v>6</v>
      </c>
      <c r="D35" s="5" t="s">
        <v>7</v>
      </c>
      <c r="E35" s="8">
        <v>3</v>
      </c>
      <c r="F35" s="9">
        <v>59</v>
      </c>
      <c r="G35" s="36"/>
      <c r="H35" s="27"/>
    </row>
    <row r="36" spans="1:8" ht="28.8" x14ac:dyDescent="0.3">
      <c r="A36" s="4">
        <v>17735</v>
      </c>
      <c r="B36" s="5" t="s">
        <v>42</v>
      </c>
      <c r="C36" s="5" t="s">
        <v>6</v>
      </c>
      <c r="D36" s="5" t="s">
        <v>7</v>
      </c>
      <c r="E36" s="8">
        <v>5</v>
      </c>
      <c r="F36" s="9">
        <v>59</v>
      </c>
      <c r="G36" s="36"/>
      <c r="H36" s="27"/>
    </row>
    <row r="37" spans="1:8" ht="28.8" x14ac:dyDescent="0.3">
      <c r="A37" s="4">
        <v>17949</v>
      </c>
      <c r="B37" s="5" t="s">
        <v>43</v>
      </c>
      <c r="C37" s="5" t="s">
        <v>6</v>
      </c>
      <c r="D37" s="5" t="s">
        <v>7</v>
      </c>
      <c r="E37" s="8">
        <v>1</v>
      </c>
      <c r="F37" s="9">
        <v>59</v>
      </c>
      <c r="G37" s="32"/>
      <c r="H37" s="26"/>
    </row>
    <row r="38" spans="1:8" ht="39.6" customHeight="1" x14ac:dyDescent="0.3">
      <c r="A38" s="4">
        <v>17638</v>
      </c>
      <c r="B38" s="5" t="s">
        <v>44</v>
      </c>
      <c r="C38" s="5" t="s">
        <v>6</v>
      </c>
      <c r="D38" s="5" t="s">
        <v>7</v>
      </c>
      <c r="E38" s="8">
        <v>1</v>
      </c>
      <c r="F38" s="9">
        <v>58</v>
      </c>
      <c r="G38" s="31" t="s">
        <v>84</v>
      </c>
      <c r="H38" s="25" t="s">
        <v>85</v>
      </c>
    </row>
    <row r="39" spans="1:8" ht="52.8" customHeight="1" x14ac:dyDescent="0.3">
      <c r="A39" s="4">
        <v>17644</v>
      </c>
      <c r="B39" s="5" t="s">
        <v>45</v>
      </c>
      <c r="C39" s="5" t="s">
        <v>6</v>
      </c>
      <c r="D39" s="5" t="s">
        <v>7</v>
      </c>
      <c r="E39" s="8">
        <v>3</v>
      </c>
      <c r="F39" s="9">
        <v>58</v>
      </c>
      <c r="G39" s="36"/>
      <c r="H39" s="27"/>
    </row>
    <row r="40" spans="1:8" ht="54" customHeight="1" x14ac:dyDescent="0.3">
      <c r="A40" s="4">
        <v>17636</v>
      </c>
      <c r="B40" s="5" t="s">
        <v>46</v>
      </c>
      <c r="C40" s="5" t="s">
        <v>6</v>
      </c>
      <c r="D40" s="5" t="s">
        <v>7</v>
      </c>
      <c r="E40" s="8">
        <v>3</v>
      </c>
      <c r="F40" s="9">
        <v>58</v>
      </c>
      <c r="G40" s="32"/>
      <c r="H40" s="26"/>
    </row>
    <row r="41" spans="1:8" ht="28.8" x14ac:dyDescent="0.3">
      <c r="A41" s="4">
        <v>17492</v>
      </c>
      <c r="B41" s="5" t="s">
        <v>47</v>
      </c>
      <c r="C41" s="5" t="s">
        <v>6</v>
      </c>
      <c r="D41" s="5" t="s">
        <v>7</v>
      </c>
      <c r="E41" s="8">
        <v>3</v>
      </c>
      <c r="F41" s="9">
        <v>57</v>
      </c>
      <c r="G41" s="31" t="s">
        <v>82</v>
      </c>
      <c r="H41" s="25" t="s">
        <v>83</v>
      </c>
    </row>
    <row r="42" spans="1:8" ht="28.8" x14ac:dyDescent="0.3">
      <c r="A42" s="4">
        <v>15570</v>
      </c>
      <c r="B42" s="5" t="s">
        <v>48</v>
      </c>
      <c r="C42" s="5" t="s">
        <v>6</v>
      </c>
      <c r="D42" s="5" t="s">
        <v>7</v>
      </c>
      <c r="E42" s="8">
        <v>30</v>
      </c>
      <c r="F42" s="9">
        <v>57</v>
      </c>
      <c r="G42" s="36"/>
      <c r="H42" s="27"/>
    </row>
    <row r="43" spans="1:8" ht="28.8" x14ac:dyDescent="0.3">
      <c r="A43" s="4">
        <v>15672</v>
      </c>
      <c r="B43" s="5" t="s">
        <v>49</v>
      </c>
      <c r="C43" s="5" t="s">
        <v>6</v>
      </c>
      <c r="D43" s="5" t="s">
        <v>7</v>
      </c>
      <c r="E43" s="8">
        <v>18</v>
      </c>
      <c r="F43" s="9">
        <v>57</v>
      </c>
      <c r="G43" s="36"/>
      <c r="H43" s="27"/>
    </row>
    <row r="44" spans="1:8" ht="28.8" x14ac:dyDescent="0.3">
      <c r="A44" s="4">
        <v>17478</v>
      </c>
      <c r="B44" s="5" t="s">
        <v>50</v>
      </c>
      <c r="C44" s="5" t="s">
        <v>6</v>
      </c>
      <c r="D44" s="5" t="s">
        <v>7</v>
      </c>
      <c r="E44" s="8">
        <v>3</v>
      </c>
      <c r="F44" s="9">
        <v>57</v>
      </c>
      <c r="G44" s="36"/>
      <c r="H44" s="27"/>
    </row>
    <row r="45" spans="1:8" ht="28.8" x14ac:dyDescent="0.3">
      <c r="A45" s="4">
        <v>17522</v>
      </c>
      <c r="B45" s="5" t="s">
        <v>51</v>
      </c>
      <c r="C45" s="5" t="s">
        <v>6</v>
      </c>
      <c r="D45" s="5" t="s">
        <v>7</v>
      </c>
      <c r="E45" s="8">
        <v>5</v>
      </c>
      <c r="F45" s="9">
        <v>57</v>
      </c>
      <c r="G45" s="32"/>
      <c r="H45" s="26"/>
    </row>
    <row r="46" spans="1:8" ht="28.8" x14ac:dyDescent="0.3">
      <c r="A46" s="4">
        <v>17232</v>
      </c>
      <c r="B46" s="5" t="s">
        <v>52</v>
      </c>
      <c r="C46" s="5" t="s">
        <v>6</v>
      </c>
      <c r="D46" s="5" t="s">
        <v>7</v>
      </c>
      <c r="E46" s="8">
        <v>3</v>
      </c>
      <c r="F46" s="9">
        <v>56</v>
      </c>
      <c r="G46" s="31" t="s">
        <v>79</v>
      </c>
      <c r="H46" s="25" t="s">
        <v>81</v>
      </c>
    </row>
    <row r="47" spans="1:8" ht="28.8" x14ac:dyDescent="0.3">
      <c r="A47" s="4">
        <v>15570</v>
      </c>
      <c r="B47" s="5" t="s">
        <v>48</v>
      </c>
      <c r="C47" s="5" t="s">
        <v>6</v>
      </c>
      <c r="D47" s="5" t="s">
        <v>7</v>
      </c>
      <c r="E47" s="8">
        <v>30</v>
      </c>
      <c r="F47" s="9">
        <v>56</v>
      </c>
      <c r="G47" s="32"/>
      <c r="H47" s="26"/>
    </row>
    <row r="48" spans="1:8" ht="28.8" x14ac:dyDescent="0.3">
      <c r="A48" s="4">
        <v>16103</v>
      </c>
      <c r="B48" s="5" t="s">
        <v>53</v>
      </c>
      <c r="C48" s="5" t="s">
        <v>6</v>
      </c>
      <c r="D48" s="5" t="s">
        <v>7</v>
      </c>
      <c r="E48" s="8">
        <v>25</v>
      </c>
      <c r="F48" s="9">
        <v>55</v>
      </c>
      <c r="G48" s="10" t="s">
        <v>78</v>
      </c>
      <c r="H48" s="11" t="s">
        <v>80</v>
      </c>
    </row>
    <row r="49" spans="1:8" ht="28.8" x14ac:dyDescent="0.3">
      <c r="A49" s="4">
        <v>16303</v>
      </c>
      <c r="B49" s="5" t="s">
        <v>54</v>
      </c>
      <c r="C49" s="5" t="s">
        <v>6</v>
      </c>
      <c r="D49" s="5" t="s">
        <v>7</v>
      </c>
      <c r="E49" s="8">
        <v>20</v>
      </c>
      <c r="F49" s="9">
        <v>54</v>
      </c>
      <c r="G49" s="31" t="s">
        <v>76</v>
      </c>
      <c r="H49" s="25" t="s">
        <v>77</v>
      </c>
    </row>
    <row r="50" spans="1:8" ht="28.8" x14ac:dyDescent="0.3">
      <c r="A50" s="4">
        <v>16304</v>
      </c>
      <c r="B50" s="5" t="s">
        <v>55</v>
      </c>
      <c r="C50" s="5" t="s">
        <v>6</v>
      </c>
      <c r="D50" s="5" t="s">
        <v>7</v>
      </c>
      <c r="E50" s="8">
        <v>8</v>
      </c>
      <c r="F50" s="9">
        <v>54</v>
      </c>
      <c r="G50" s="36"/>
      <c r="H50" s="34"/>
    </row>
    <row r="51" spans="1:8" ht="43.2" x14ac:dyDescent="0.3">
      <c r="A51" s="4">
        <v>16305</v>
      </c>
      <c r="B51" s="5" t="s">
        <v>56</v>
      </c>
      <c r="C51" s="5" t="s">
        <v>6</v>
      </c>
      <c r="D51" s="5" t="s">
        <v>7</v>
      </c>
      <c r="E51" s="8">
        <v>5</v>
      </c>
      <c r="F51" s="9">
        <v>54</v>
      </c>
      <c r="G51" s="36"/>
      <c r="H51" s="34"/>
    </row>
    <row r="52" spans="1:8" ht="28.8" x14ac:dyDescent="0.3">
      <c r="A52" s="4">
        <v>16994</v>
      </c>
      <c r="B52" s="5" t="s">
        <v>57</v>
      </c>
      <c r="C52" s="5" t="s">
        <v>6</v>
      </c>
      <c r="D52" s="5" t="s">
        <v>7</v>
      </c>
      <c r="E52" s="8">
        <v>3</v>
      </c>
      <c r="F52" s="9">
        <v>54</v>
      </c>
      <c r="G52" s="32"/>
      <c r="H52" s="35"/>
    </row>
    <row r="53" spans="1:8" ht="28.8" x14ac:dyDescent="0.3">
      <c r="A53" s="4">
        <v>16722</v>
      </c>
      <c r="B53" s="5" t="s">
        <v>60</v>
      </c>
      <c r="C53" s="5" t="s">
        <v>6</v>
      </c>
      <c r="D53" s="5" t="s">
        <v>7</v>
      </c>
      <c r="E53" s="8">
        <v>2</v>
      </c>
      <c r="F53" s="9">
        <v>53</v>
      </c>
      <c r="G53" s="28" t="s">
        <v>65</v>
      </c>
      <c r="H53" s="25" t="s">
        <v>75</v>
      </c>
    </row>
    <row r="54" spans="1:8" ht="28.8" x14ac:dyDescent="0.3">
      <c r="A54" s="4">
        <v>16727</v>
      </c>
      <c r="B54" s="5" t="s">
        <v>61</v>
      </c>
      <c r="C54" s="5" t="s">
        <v>6</v>
      </c>
      <c r="D54" s="5" t="s">
        <v>7</v>
      </c>
      <c r="E54" s="8">
        <v>0.5</v>
      </c>
      <c r="F54" s="9">
        <v>53</v>
      </c>
      <c r="G54" s="29"/>
      <c r="H54" s="27"/>
    </row>
    <row r="55" spans="1:8" ht="28.8" x14ac:dyDescent="0.3">
      <c r="A55" s="4">
        <v>16280</v>
      </c>
      <c r="B55" s="5" t="s">
        <v>62</v>
      </c>
      <c r="C55" s="5" t="s">
        <v>6</v>
      </c>
      <c r="D55" s="5" t="s">
        <v>7</v>
      </c>
      <c r="E55" s="8">
        <v>3</v>
      </c>
      <c r="F55" s="9">
        <v>53</v>
      </c>
      <c r="G55" s="29"/>
      <c r="H55" s="27"/>
    </row>
    <row r="56" spans="1:8" ht="28.8" x14ac:dyDescent="0.3">
      <c r="A56" s="4">
        <v>16355</v>
      </c>
      <c r="B56" s="5" t="s">
        <v>63</v>
      </c>
      <c r="C56" s="5" t="s">
        <v>6</v>
      </c>
      <c r="D56" s="5" t="s">
        <v>7</v>
      </c>
      <c r="E56" s="8">
        <v>13</v>
      </c>
      <c r="F56" s="9">
        <v>53</v>
      </c>
      <c r="G56" s="29"/>
      <c r="H56" s="27"/>
    </row>
    <row r="57" spans="1:8" ht="28.8" x14ac:dyDescent="0.3">
      <c r="A57" s="4">
        <v>16705</v>
      </c>
      <c r="B57" s="5" t="s">
        <v>64</v>
      </c>
      <c r="C57" s="5" t="s">
        <v>6</v>
      </c>
      <c r="D57" s="5" t="s">
        <v>7</v>
      </c>
      <c r="E57" s="8">
        <v>3</v>
      </c>
      <c r="F57" s="9">
        <v>53</v>
      </c>
      <c r="G57" s="30"/>
      <c r="H57" s="26"/>
    </row>
    <row r="58" spans="1:8" ht="28.8" x14ac:dyDescent="0.3">
      <c r="A58" s="4">
        <v>16130</v>
      </c>
      <c r="B58" s="5" t="s">
        <v>66</v>
      </c>
      <c r="C58" s="5" t="s">
        <v>6</v>
      </c>
      <c r="D58" s="5" t="s">
        <v>7</v>
      </c>
      <c r="E58" s="8">
        <v>20</v>
      </c>
      <c r="F58" s="9">
        <v>52</v>
      </c>
      <c r="G58" s="33" t="s">
        <v>73</v>
      </c>
      <c r="H58" s="25" t="s">
        <v>74</v>
      </c>
    </row>
    <row r="59" spans="1:8" ht="28.8" x14ac:dyDescent="0.3">
      <c r="A59" s="4">
        <v>16134</v>
      </c>
      <c r="B59" s="5" t="s">
        <v>67</v>
      </c>
      <c r="C59" s="5" t="s">
        <v>6</v>
      </c>
      <c r="D59" s="5" t="s">
        <v>7</v>
      </c>
      <c r="E59" s="8">
        <v>8</v>
      </c>
      <c r="F59" s="9">
        <v>52</v>
      </c>
      <c r="G59" s="33"/>
      <c r="H59" s="27"/>
    </row>
    <row r="60" spans="1:8" ht="28.8" x14ac:dyDescent="0.3">
      <c r="A60" s="4">
        <v>16137</v>
      </c>
      <c r="B60" s="5" t="s">
        <v>68</v>
      </c>
      <c r="C60" s="5" t="s">
        <v>6</v>
      </c>
      <c r="D60" s="5" t="s">
        <v>7</v>
      </c>
      <c r="E60" s="8">
        <v>3</v>
      </c>
      <c r="F60" s="9">
        <v>52</v>
      </c>
      <c r="G60" s="33"/>
      <c r="H60" s="27"/>
    </row>
    <row r="61" spans="1:8" ht="28.8" x14ac:dyDescent="0.3">
      <c r="A61" s="4">
        <v>16138</v>
      </c>
      <c r="B61" s="5" t="s">
        <v>69</v>
      </c>
      <c r="C61" s="5" t="s">
        <v>6</v>
      </c>
      <c r="D61" s="5" t="s">
        <v>7</v>
      </c>
      <c r="E61" s="8">
        <v>5</v>
      </c>
      <c r="F61" s="9">
        <v>52</v>
      </c>
      <c r="G61" s="33"/>
      <c r="H61" s="27"/>
    </row>
    <row r="62" spans="1:8" ht="28.8" x14ac:dyDescent="0.3">
      <c r="A62" s="4">
        <v>16353</v>
      </c>
      <c r="B62" s="5" t="s">
        <v>70</v>
      </c>
      <c r="C62" s="5" t="s">
        <v>6</v>
      </c>
      <c r="D62" s="5" t="s">
        <v>7</v>
      </c>
      <c r="E62" s="8">
        <v>3</v>
      </c>
      <c r="F62" s="9">
        <v>52</v>
      </c>
      <c r="G62" s="33"/>
      <c r="H62" s="27"/>
    </row>
    <row r="63" spans="1:8" ht="28.8" x14ac:dyDescent="0.3">
      <c r="A63" s="4">
        <v>16623</v>
      </c>
      <c r="B63" s="5" t="s">
        <v>71</v>
      </c>
      <c r="C63" s="5" t="s">
        <v>6</v>
      </c>
      <c r="D63" s="5" t="s">
        <v>7</v>
      </c>
      <c r="E63" s="8">
        <v>3</v>
      </c>
      <c r="F63" s="9">
        <v>52</v>
      </c>
      <c r="G63" s="33"/>
      <c r="H63" s="27"/>
    </row>
    <row r="64" spans="1:8" ht="43.2" x14ac:dyDescent="0.3">
      <c r="A64" s="4">
        <v>16624</v>
      </c>
      <c r="B64" s="5" t="s">
        <v>72</v>
      </c>
      <c r="C64" s="5" t="s">
        <v>6</v>
      </c>
      <c r="D64" s="5" t="s">
        <v>7</v>
      </c>
      <c r="E64" s="8">
        <v>3</v>
      </c>
      <c r="F64" s="9">
        <v>52</v>
      </c>
      <c r="G64" s="33"/>
      <c r="H64" s="26"/>
    </row>
    <row r="65" spans="1:5" x14ac:dyDescent="0.3">
      <c r="A65" s="1"/>
      <c r="E65"/>
    </row>
    <row r="66" spans="1:5" x14ac:dyDescent="0.3">
      <c r="A66" s="2"/>
      <c r="E66" s="12"/>
    </row>
  </sheetData>
  <mergeCells count="24">
    <mergeCell ref="G53:G57"/>
    <mergeCell ref="G49:G52"/>
    <mergeCell ref="G58:G64"/>
    <mergeCell ref="H58:H64"/>
    <mergeCell ref="H25:H28"/>
    <mergeCell ref="H19:H24"/>
    <mergeCell ref="H53:H57"/>
    <mergeCell ref="H49:H52"/>
    <mergeCell ref="H46:H47"/>
    <mergeCell ref="H41:H45"/>
    <mergeCell ref="H38:H40"/>
    <mergeCell ref="H29:H37"/>
    <mergeCell ref="G46:G47"/>
    <mergeCell ref="G41:G45"/>
    <mergeCell ref="G38:G40"/>
    <mergeCell ref="G29:G37"/>
    <mergeCell ref="G25:G28"/>
    <mergeCell ref="G19:G24"/>
    <mergeCell ref="H17:H18"/>
    <mergeCell ref="H7:H16"/>
    <mergeCell ref="H2:H6"/>
    <mergeCell ref="G2:G6"/>
    <mergeCell ref="G17:G18"/>
    <mergeCell ref="G7:G16"/>
  </mergeCells>
  <hyperlinks>
    <hyperlink ref="A2" r:id="rId1" display="https://dev.azure.com/ArenaGroupEDM/mstore web/_workitems/edit/17666" xr:uid="{D539230D-5660-4B09-A9CE-1AF3ACE8B2D0}"/>
    <hyperlink ref="A3" r:id="rId2" display="https://dev.azure.com/ArenaGroupEDM/mstore web/_workitems/edit/18648" xr:uid="{DC87D5C9-8CD5-459D-B027-AF2ED08847CD}"/>
    <hyperlink ref="A4" r:id="rId3" display="https://dev.azure.com/ArenaGroupEDM/mstore web/_workitems/edit/17324" xr:uid="{090BFF4D-CB26-4B75-9901-16C4651C6439}"/>
    <hyperlink ref="A5" r:id="rId4" display="https://dev.azure.com/ArenaGroupEDM/mstore web/_workitems/edit/17326" xr:uid="{272876C2-B790-4D31-AF54-A4E034A2CDCC}"/>
    <hyperlink ref="A6" r:id="rId5" display="https://dev.azure.com/ArenaGroupEDM/mstore web/_workitems/edit/18270" xr:uid="{1E782350-E243-4B2A-8480-A33DD1CA30E8}"/>
    <hyperlink ref="A7" r:id="rId6" display="https://dev.azure.com/ArenaGroupEDM/mstore web/_workitems/edit/17665" xr:uid="{C764E6FB-E745-4BE6-AB00-8289727F4986}"/>
    <hyperlink ref="A8" r:id="rId7" display="https://dev.azure.com/ArenaGroupEDM/mstore web/_workitems/edit/18647" xr:uid="{8A1C2F3C-6B8D-4FC1-800B-0A26321C14B7}"/>
    <hyperlink ref="A9" r:id="rId8" display="https://dev.azure.com/ArenaGroupEDM/mstore web/_workitems/edit/18649" xr:uid="{25661833-1B08-42ED-9A36-057C23278013}"/>
    <hyperlink ref="A10" r:id="rId9" display="https://dev.azure.com/ArenaGroupEDM/mstore web/_workitems/edit/17663" xr:uid="{65811784-88B5-40DA-AF79-AD00B1A60D97}"/>
    <hyperlink ref="A11" r:id="rId10" display="https://dev.azure.com/ArenaGroupEDM/mstore web/_workitems/edit/18152" xr:uid="{B5586F75-B08D-49CC-8C83-BC0C878FC66A}"/>
    <hyperlink ref="A12" r:id="rId11" display="https://dev.azure.com/ArenaGroupEDM/mstore web/_workitems/edit/17662" xr:uid="{35FE6135-2257-4491-93B7-47ECC0448929}"/>
    <hyperlink ref="A13" r:id="rId12" display="https://dev.azure.com/ArenaGroupEDM/mstore web/_workitems/edit/18513" xr:uid="{A28D0D04-A98D-42E1-9272-40D271D01EEA}"/>
    <hyperlink ref="A14" r:id="rId13" display="https://dev.azure.com/ArenaGroupEDM/mstore web/_workitems/edit/17785" xr:uid="{3D2F4821-B1CD-4354-BD9C-ACC345EAF7BD}"/>
    <hyperlink ref="A15" r:id="rId14" display="https://dev.azure.com/ArenaGroupEDM/mstore web/_workitems/edit/17690" xr:uid="{8B8AA76F-8DA2-46C8-B6AE-305DAEF413CC}"/>
    <hyperlink ref="A16" r:id="rId15" display="https://dev.azure.com/ArenaGroupEDM/mstore web/_workitems/edit/18662" xr:uid="{20C051C6-88E0-4CCB-997B-5AEF7AE6EE6F}"/>
    <hyperlink ref="A17" r:id="rId16" display="https://dev.azure.com/ArenaGroupEDM/mstore web/_workitems/edit/18590" xr:uid="{4401752E-E9DB-44CC-B227-7AC62FA7F497}"/>
    <hyperlink ref="A18" r:id="rId17" display="https://dev.azure.com/ArenaGroupEDM/mstore web/_workitems/edit/18221" xr:uid="{F83E0377-B148-4515-A6AF-CB462A309004}"/>
    <hyperlink ref="A19" r:id="rId18" display="https://dev.azure.com/ArenaGroupEDM/mstore web/_workitems/edit/18390" xr:uid="{40767506-0EE3-4FA9-B6DF-65083D632C96}"/>
    <hyperlink ref="A20" r:id="rId19" display="https://dev.azure.com/ArenaGroupEDM/mstore web/_workitems/edit/18393" xr:uid="{2586AB7D-552F-4A7A-822D-EBD4D4D8C2A6}"/>
    <hyperlink ref="A21" r:id="rId20" display="https://dev.azure.com/ArenaGroupEDM/mstore web/_workitems/edit/18469" xr:uid="{6B27B625-4463-4330-8137-DAACDB80E7F7}"/>
    <hyperlink ref="A22" r:id="rId21" display="https://dev.azure.com/ArenaGroupEDM/mstore web/_workitems/edit/18476" xr:uid="{064B409C-6DBF-4094-8040-FC3CBF9B4D92}"/>
    <hyperlink ref="A23" r:id="rId22" display="https://dev.azure.com/ArenaGroupEDM/mstore web/_workitems/edit/18514" xr:uid="{34B0E271-007F-4EF5-AAA2-365956737F6D}"/>
    <hyperlink ref="A24" r:id="rId23" display="https://dev.azure.com/ArenaGroupEDM/mstore web/_workitems/edit/18063" xr:uid="{18BCC103-8357-4976-9058-FEEC5872ADC8}"/>
    <hyperlink ref="A25" r:id="rId24" display="https://dev.azure.com/ArenaGroupEDM/mstore web/_workitems/edit/18031" xr:uid="{E70977FB-AD89-4CBB-84E2-7FF88DA76A3C}"/>
    <hyperlink ref="A26" r:id="rId25" display="https://dev.azure.com/ArenaGroupEDM/mstore web/_workitems/edit/18272" xr:uid="{4B5B67AE-5D2B-4EF4-B016-D8255DAE0030}"/>
    <hyperlink ref="A27" r:id="rId26" display="https://dev.azure.com/ArenaGroupEDM/mstore web/_workitems/edit/18231" xr:uid="{FA06DB92-D0DF-4FA1-A54D-7089B8DF7B19}"/>
    <hyperlink ref="A28" r:id="rId27" display="https://dev.azure.com/ArenaGroupEDM/mstore web/_workitems/edit/18361" xr:uid="{79B25BFE-E4F6-4C31-A51A-44C4C1436484}"/>
    <hyperlink ref="A29" r:id="rId28" display="https://dev.azure.com/ArenaGroupEDM/mstore web/_workitems/edit/17680" xr:uid="{DCAE7AE0-3AAA-4BEC-817B-98C83DED2548}"/>
    <hyperlink ref="A30" r:id="rId29" display="https://dev.azure.com/ArenaGroupEDM/mstore web/_workitems/edit/18061" xr:uid="{7C91A003-2750-40A9-B42B-92B2669FA75F}"/>
    <hyperlink ref="A31" r:id="rId30" display="https://dev.azure.com/ArenaGroupEDM/mstore web/_workitems/edit/18064" xr:uid="{55FF4EDF-5AE4-4FDB-A92D-4FCEBDEFB945}"/>
    <hyperlink ref="A32" r:id="rId31" display="https://dev.azure.com/ArenaGroupEDM/mstore web/_workitems/edit/18065" xr:uid="{8A7F90F4-BCAB-416B-9ED7-D302BC80E952}"/>
    <hyperlink ref="A33" r:id="rId32" display="https://dev.azure.com/ArenaGroupEDM/mstore web/_workitems/edit/18066" xr:uid="{143A977C-CD1D-4622-9FED-52FC45BADB3A}"/>
    <hyperlink ref="A34" r:id="rId33" display="https://dev.azure.com/ArenaGroupEDM/mstore web/_workitems/edit/18067" xr:uid="{795B049E-E542-491F-A2A7-9E5B0ADC1CDB}"/>
    <hyperlink ref="A35" r:id="rId34" display="https://dev.azure.com/ArenaGroupEDM/mstore web/_workitems/edit/18021" xr:uid="{BDA9B79E-FECC-4808-9C15-93A92196DC0B}"/>
    <hyperlink ref="A36" r:id="rId35" display="https://dev.azure.com/ArenaGroupEDM/mstore web/_workitems/edit/17735" xr:uid="{01DA80AA-FDDF-4BF4-8B73-2D6DC580232D}"/>
    <hyperlink ref="A37" r:id="rId36" display="https://dev.azure.com/ArenaGroupEDM/mstore web/_workitems/edit/17949" xr:uid="{563C31CE-F266-4EF5-9985-4E7D2A442E61}"/>
    <hyperlink ref="A38" r:id="rId37" display="https://dev.azure.com/ArenaGroupEDM/mstore web/_workitems/edit/17638" xr:uid="{3C918AC7-B72B-4B39-A038-768151B19011}"/>
    <hyperlink ref="A39" r:id="rId38" display="https://dev.azure.com/ArenaGroupEDM/mstore web/_workitems/edit/17644" xr:uid="{287C9C92-436C-42A0-A5CD-1AEC7FDF302E}"/>
    <hyperlink ref="A40" r:id="rId39" display="https://dev.azure.com/ArenaGroupEDM/mstore web/_workitems/edit/17636" xr:uid="{2EAC08A4-9B07-4FE5-ADC5-C31FA961968D}"/>
    <hyperlink ref="A41" r:id="rId40" display="https://dev.azure.com/ArenaGroupEDM/mstore web/_workitems/edit/17492" xr:uid="{D5B08AC0-7FC6-4BA8-B722-4DBEF53E4EEC}"/>
    <hyperlink ref="A42" r:id="rId41" display="https://dev.azure.com/ArenaGroupEDM/mstore web/_workitems/edit/15570" xr:uid="{8D4C1FE5-DD94-42D5-BB6C-C7744CF41FEF}"/>
    <hyperlink ref="A43" r:id="rId42" display="https://dev.azure.com/ArenaGroupEDM/mstore web/_workitems/edit/15672" xr:uid="{A05E23E6-AA70-4658-9153-B5CD7538263E}"/>
    <hyperlink ref="A44" r:id="rId43" display="https://dev.azure.com/ArenaGroupEDM/mstore web/_workitems/edit/17478" xr:uid="{24A3D42E-05DF-457F-A470-7E2F0BDCABFB}"/>
    <hyperlink ref="A45" r:id="rId44" display="https://dev.azure.com/ArenaGroupEDM/mstore web/_workitems/edit/17522" xr:uid="{7B7181CA-F111-411E-9010-FF4851D79AEE}"/>
    <hyperlink ref="A46" r:id="rId45" display="https://dev.azure.com/ArenaGroupEDM/mstore web/_workitems/edit/17232" xr:uid="{0B574373-B745-4C09-85E9-D4528456545F}"/>
    <hyperlink ref="A47" r:id="rId46" display="https://dev.azure.com/ArenaGroupEDM/mstore web/_workitems/edit/15570" xr:uid="{920FF5FD-1293-40C2-B1D9-2E588F66FF58}"/>
    <hyperlink ref="A48" r:id="rId47" display="https://dev.azure.com/ArenaGroupEDM/mstore web/_workitems/edit/16103" xr:uid="{0A0667EE-1E39-4F59-9F03-A2F94832B9FC}"/>
    <hyperlink ref="A49" r:id="rId48" display="https://dev.azure.com/ArenaGroupEDM/mstore web/_workitems/edit/16303" xr:uid="{F13698B7-9355-49F7-BB3F-E9C3298FF9A7}"/>
    <hyperlink ref="A50" r:id="rId49" display="https://dev.azure.com/ArenaGroupEDM/mstore web/_workitems/edit/16304" xr:uid="{F47F105C-ADDB-49B7-A193-0849D4BA33D3}"/>
    <hyperlink ref="A51" r:id="rId50" display="https://dev.azure.com/ArenaGroupEDM/mstore web/_workitems/edit/16305" xr:uid="{AE13866B-7CC8-4E6C-A027-19202F1887E3}"/>
    <hyperlink ref="A52" r:id="rId51" display="https://dev.azure.com/ArenaGroupEDM/mstore web/_workitems/edit/16994" xr:uid="{912BE21D-37AF-4A68-803B-47E4F63B1321}"/>
    <hyperlink ref="A53" r:id="rId52" display="https://dev.azure.com/ArenaGroupEDM/mstore web/_workitems/edit/16722" xr:uid="{49C46060-6E15-4532-A4B7-83C81A71C9CC}"/>
    <hyperlink ref="A54" r:id="rId53" display="https://dev.azure.com/ArenaGroupEDM/mstore web/_workitems/edit/16727" xr:uid="{1AFEC177-4D12-478C-8545-FA4397947139}"/>
    <hyperlink ref="A55" r:id="rId54" display="https://dev.azure.com/ArenaGroupEDM/mstore web/_workitems/edit/16280" xr:uid="{9D71181D-C164-4D40-8B18-7931A0646A93}"/>
    <hyperlink ref="A56" r:id="rId55" display="https://dev.azure.com/ArenaGroupEDM/mstore web/_workitems/edit/16355" xr:uid="{882704BA-F93C-4CED-B0FF-0820204E45D0}"/>
    <hyperlink ref="A57" r:id="rId56" display="https://dev.azure.com/ArenaGroupEDM/mstore web/_workitems/edit/16705" xr:uid="{C81A3C50-ABF1-4E50-980A-F095AB0A1AF6}"/>
    <hyperlink ref="A58" r:id="rId57" display="https://dev.azure.com/ArenaGroupEDM/mstore web/_workitems/edit/16130" xr:uid="{F44441B1-85F5-49D0-8759-76AD96061D13}"/>
    <hyperlink ref="A59" r:id="rId58" display="https://dev.azure.com/ArenaGroupEDM/mstore web/_workitems/edit/16134" xr:uid="{D279F80D-B126-44C8-AE9D-6C2748F0061A}"/>
    <hyperlink ref="A60" r:id="rId59" display="https://dev.azure.com/ArenaGroupEDM/mstore web/_workitems/edit/16137" xr:uid="{A03DE1CA-A9A8-4AAA-8B77-8776806670D8}"/>
    <hyperlink ref="A61" r:id="rId60" display="https://dev.azure.com/ArenaGroupEDM/mstore web/_workitems/edit/16138" xr:uid="{7B7275AF-4AF3-41A7-A546-9A85D0C2189D}"/>
    <hyperlink ref="A62" r:id="rId61" display="https://dev.azure.com/ArenaGroupEDM/mstore web/_workitems/edit/16353" xr:uid="{DB50B111-4F1D-4F41-A522-9C5E8E348A26}"/>
    <hyperlink ref="A63" r:id="rId62" display="https://dev.azure.com/ArenaGroupEDM/mstore web/_workitems/edit/16623" xr:uid="{69C307FC-4D25-47ED-A828-C3BDBC96CE17}"/>
    <hyperlink ref="A64" r:id="rId63" display="https://dev.azure.com/ArenaGroupEDM/mstore web/_workitems/edit/16624" xr:uid="{CB556DEB-4B89-40FB-85AE-3AF5B97103F5}"/>
  </hyperlinks>
  <pageMargins left="0.7" right="0.7" top="0.75" bottom="0.75" header="0.3" footer="0.3"/>
  <pageSetup paperSize="9" orientation="portrait" r:id="rId6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7832E-8C08-4418-998D-527360AE8E4B}">
  <dimension ref="A1:F121"/>
  <sheetViews>
    <sheetView tabSelected="1" topLeftCell="A89" workbookViewId="0">
      <selection activeCell="D118" sqref="D118"/>
    </sheetView>
  </sheetViews>
  <sheetFormatPr defaultRowHeight="14.4" x14ac:dyDescent="0.3"/>
  <cols>
    <col min="1" max="1" width="4" bestFit="1" customWidth="1"/>
    <col min="2" max="2" width="57.109375" bestFit="1" customWidth="1"/>
    <col min="3" max="3" width="14.21875" bestFit="1" customWidth="1"/>
    <col min="4" max="4" width="18.109375" bestFit="1" customWidth="1"/>
    <col min="5" max="5" width="9.21875" bestFit="1" customWidth="1"/>
  </cols>
  <sheetData>
    <row r="1" spans="1:6" x14ac:dyDescent="0.3">
      <c r="A1" s="18" t="s">
        <v>98</v>
      </c>
      <c r="B1" s="18" t="s">
        <v>99</v>
      </c>
      <c r="C1" s="18" t="s">
        <v>121</v>
      </c>
      <c r="D1" s="18" t="s">
        <v>100</v>
      </c>
      <c r="E1" s="18" t="s">
        <v>110</v>
      </c>
      <c r="F1" s="18" t="s">
        <v>128</v>
      </c>
    </row>
    <row r="2" spans="1:6" x14ac:dyDescent="0.3">
      <c r="A2" s="13">
        <v>1</v>
      </c>
      <c r="B2" s="13" t="s">
        <v>104</v>
      </c>
      <c r="C2" s="10">
        <v>60</v>
      </c>
      <c r="D2" s="13" t="s">
        <v>101</v>
      </c>
      <c r="E2" s="37">
        <v>44594</v>
      </c>
      <c r="F2" s="38">
        <f>SUM(C2:C14)/60</f>
        <v>8.4666666666666668</v>
      </c>
    </row>
    <row r="3" spans="1:6" x14ac:dyDescent="0.3">
      <c r="A3" s="13">
        <v>2</v>
      </c>
      <c r="B3" s="13" t="s">
        <v>102</v>
      </c>
      <c r="C3" s="10">
        <v>60</v>
      </c>
      <c r="D3" s="14" t="s">
        <v>103</v>
      </c>
      <c r="E3" s="38"/>
      <c r="F3" s="38"/>
    </row>
    <row r="4" spans="1:6" x14ac:dyDescent="0.3">
      <c r="A4" s="13">
        <v>3</v>
      </c>
      <c r="B4" s="13" t="s">
        <v>105</v>
      </c>
      <c r="C4" s="10">
        <v>20</v>
      </c>
      <c r="D4" s="13" t="s">
        <v>106</v>
      </c>
      <c r="E4" s="38"/>
      <c r="F4" s="38"/>
    </row>
    <row r="5" spans="1:6" x14ac:dyDescent="0.3">
      <c r="A5" s="13">
        <v>4</v>
      </c>
      <c r="B5" s="13" t="s">
        <v>107</v>
      </c>
      <c r="C5" s="10">
        <v>15</v>
      </c>
      <c r="D5" s="13" t="s">
        <v>108</v>
      </c>
      <c r="E5" s="38"/>
      <c r="F5" s="38"/>
    </row>
    <row r="6" spans="1:6" x14ac:dyDescent="0.3">
      <c r="A6" s="15">
        <v>5</v>
      </c>
      <c r="B6" s="15" t="s">
        <v>109</v>
      </c>
      <c r="C6" s="17">
        <v>48</v>
      </c>
      <c r="D6" s="15" t="s">
        <v>111</v>
      </c>
      <c r="E6" s="38"/>
      <c r="F6" s="38"/>
    </row>
    <row r="7" spans="1:6" x14ac:dyDescent="0.3">
      <c r="A7" s="15">
        <v>6</v>
      </c>
      <c r="B7" s="15" t="s">
        <v>112</v>
      </c>
      <c r="C7" s="17">
        <v>40</v>
      </c>
      <c r="D7" s="15" t="s">
        <v>113</v>
      </c>
      <c r="E7" s="38"/>
      <c r="F7" s="38"/>
    </row>
    <row r="8" spans="1:6" x14ac:dyDescent="0.3">
      <c r="A8" s="15">
        <v>7</v>
      </c>
      <c r="B8" s="15" t="s">
        <v>114</v>
      </c>
      <c r="C8" s="17">
        <v>10</v>
      </c>
      <c r="D8" s="15" t="s">
        <v>115</v>
      </c>
      <c r="E8" s="38"/>
      <c r="F8" s="38"/>
    </row>
    <row r="9" spans="1:6" x14ac:dyDescent="0.3">
      <c r="A9" s="15">
        <v>8</v>
      </c>
      <c r="B9" s="15" t="s">
        <v>116</v>
      </c>
      <c r="C9" s="17">
        <v>30</v>
      </c>
      <c r="D9" s="15" t="s">
        <v>117</v>
      </c>
      <c r="E9" s="38"/>
      <c r="F9" s="38"/>
    </row>
    <row r="10" spans="1:6" x14ac:dyDescent="0.3">
      <c r="A10" s="15">
        <v>9</v>
      </c>
      <c r="B10" s="15" t="s">
        <v>118</v>
      </c>
      <c r="C10" s="17">
        <v>24</v>
      </c>
      <c r="D10" s="15" t="s">
        <v>119</v>
      </c>
      <c r="E10" s="38"/>
      <c r="F10" s="38"/>
    </row>
    <row r="11" spans="1:6" x14ac:dyDescent="0.3">
      <c r="A11" s="15">
        <v>10</v>
      </c>
      <c r="B11" s="15" t="s">
        <v>120</v>
      </c>
      <c r="C11" s="17">
        <v>90</v>
      </c>
      <c r="D11" s="15" t="s">
        <v>122</v>
      </c>
      <c r="E11" s="38"/>
      <c r="F11" s="38"/>
    </row>
    <row r="12" spans="1:6" x14ac:dyDescent="0.3">
      <c r="A12" s="15">
        <v>11</v>
      </c>
      <c r="B12" s="15" t="s">
        <v>123</v>
      </c>
      <c r="C12" s="17">
        <v>6</v>
      </c>
      <c r="D12" s="13" t="s">
        <v>124</v>
      </c>
      <c r="E12" s="38"/>
      <c r="F12" s="38"/>
    </row>
    <row r="13" spans="1:6" x14ac:dyDescent="0.3">
      <c r="A13" s="15">
        <v>12</v>
      </c>
      <c r="B13" s="13" t="s">
        <v>104</v>
      </c>
      <c r="C13" s="10">
        <v>45</v>
      </c>
      <c r="D13" s="13" t="s">
        <v>125</v>
      </c>
      <c r="E13" s="38"/>
      <c r="F13" s="38"/>
    </row>
    <row r="14" spans="1:6" x14ac:dyDescent="0.3">
      <c r="A14" s="15">
        <v>13</v>
      </c>
      <c r="B14" s="15" t="s">
        <v>126</v>
      </c>
      <c r="C14" s="10">
        <v>60</v>
      </c>
      <c r="D14" s="13" t="s">
        <v>127</v>
      </c>
      <c r="E14" s="38"/>
      <c r="F14" s="38"/>
    </row>
    <row r="15" spans="1:6" ht="3.6" customHeight="1" x14ac:dyDescent="0.3">
      <c r="A15" s="16"/>
      <c r="B15" s="16"/>
      <c r="C15" s="16"/>
      <c r="D15" s="16"/>
      <c r="E15" s="16"/>
      <c r="F15" s="16"/>
    </row>
    <row r="16" spans="1:6" x14ac:dyDescent="0.3">
      <c r="A16" s="13">
        <v>1</v>
      </c>
      <c r="B16" s="13" t="s">
        <v>104</v>
      </c>
      <c r="C16" s="10">
        <v>120</v>
      </c>
      <c r="D16" s="13" t="s">
        <v>129</v>
      </c>
      <c r="E16" s="39">
        <v>44595</v>
      </c>
      <c r="F16" s="28">
        <f>SUM(C16:C23)/60</f>
        <v>8.5</v>
      </c>
    </row>
    <row r="17" spans="1:6" x14ac:dyDescent="0.3">
      <c r="A17" s="13">
        <v>2</v>
      </c>
      <c r="B17" s="13" t="s">
        <v>130</v>
      </c>
      <c r="C17" s="10">
        <v>150</v>
      </c>
      <c r="D17" s="13" t="s">
        <v>131</v>
      </c>
      <c r="E17" s="40"/>
      <c r="F17" s="29"/>
    </row>
    <row r="18" spans="1:6" x14ac:dyDescent="0.3">
      <c r="A18" s="13">
        <v>3</v>
      </c>
      <c r="B18" s="13" t="s">
        <v>130</v>
      </c>
      <c r="C18" s="10">
        <v>30</v>
      </c>
      <c r="D18" s="13" t="s">
        <v>132</v>
      </c>
      <c r="E18" s="40"/>
      <c r="F18" s="29"/>
    </row>
    <row r="19" spans="1:6" x14ac:dyDescent="0.3">
      <c r="A19" s="13">
        <v>4</v>
      </c>
      <c r="B19" s="13" t="s">
        <v>133</v>
      </c>
      <c r="C19" s="10">
        <v>15</v>
      </c>
      <c r="D19" s="13" t="s">
        <v>134</v>
      </c>
      <c r="E19" s="40"/>
      <c r="F19" s="29"/>
    </row>
    <row r="20" spans="1:6" x14ac:dyDescent="0.3">
      <c r="A20" s="13">
        <v>5</v>
      </c>
      <c r="B20" s="13" t="s">
        <v>130</v>
      </c>
      <c r="C20" s="10">
        <v>60</v>
      </c>
      <c r="D20" s="13" t="s">
        <v>135</v>
      </c>
      <c r="E20" s="40"/>
      <c r="F20" s="29"/>
    </row>
    <row r="21" spans="1:6" x14ac:dyDescent="0.3">
      <c r="A21" s="13">
        <v>6</v>
      </c>
      <c r="B21" s="13" t="s">
        <v>136</v>
      </c>
      <c r="C21" s="10">
        <v>30</v>
      </c>
      <c r="D21" s="13" t="s">
        <v>137</v>
      </c>
      <c r="E21" s="40"/>
      <c r="F21" s="29"/>
    </row>
    <row r="22" spans="1:6" x14ac:dyDescent="0.3">
      <c r="A22" s="13">
        <v>7</v>
      </c>
      <c r="B22" s="13" t="s">
        <v>104</v>
      </c>
      <c r="C22" s="10">
        <v>30</v>
      </c>
      <c r="D22" s="13" t="s">
        <v>138</v>
      </c>
      <c r="E22" s="40"/>
      <c r="F22" s="29"/>
    </row>
    <row r="23" spans="1:6" x14ac:dyDescent="0.3">
      <c r="A23" s="13">
        <v>8</v>
      </c>
      <c r="B23" s="13" t="s">
        <v>130</v>
      </c>
      <c r="C23" s="9">
        <v>75</v>
      </c>
      <c r="D23" s="13" t="s">
        <v>162</v>
      </c>
      <c r="E23" s="41"/>
      <c r="F23" s="30"/>
    </row>
    <row r="24" spans="1:6" ht="3" customHeight="1" x14ac:dyDescent="0.3">
      <c r="A24" s="16"/>
      <c r="B24" s="16"/>
      <c r="C24" s="16"/>
      <c r="D24" s="16"/>
      <c r="E24" s="16"/>
      <c r="F24" s="16"/>
    </row>
    <row r="25" spans="1:6" x14ac:dyDescent="0.3">
      <c r="A25" s="13">
        <v>1</v>
      </c>
      <c r="B25" s="13" t="s">
        <v>130</v>
      </c>
      <c r="C25" s="13">
        <v>360</v>
      </c>
      <c r="D25" s="13" t="s">
        <v>139</v>
      </c>
      <c r="E25" s="39">
        <v>44596</v>
      </c>
      <c r="F25" s="28">
        <f>SUM(C25:C27)/60</f>
        <v>8.25</v>
      </c>
    </row>
    <row r="26" spans="1:6" x14ac:dyDescent="0.3">
      <c r="A26" s="13">
        <v>2</v>
      </c>
      <c r="B26" s="13" t="s">
        <v>114</v>
      </c>
      <c r="C26" s="13">
        <v>15</v>
      </c>
      <c r="D26" s="13" t="s">
        <v>134</v>
      </c>
      <c r="E26" s="40"/>
      <c r="F26" s="29"/>
    </row>
    <row r="27" spans="1:6" x14ac:dyDescent="0.3">
      <c r="A27" s="13">
        <v>3</v>
      </c>
      <c r="B27" s="13" t="s">
        <v>130</v>
      </c>
      <c r="C27" s="13">
        <v>120</v>
      </c>
      <c r="D27" s="13" t="s">
        <v>140</v>
      </c>
      <c r="E27" s="41"/>
      <c r="F27" s="30"/>
    </row>
    <row r="28" spans="1:6" ht="3.6" customHeight="1" x14ac:dyDescent="0.3">
      <c r="A28" s="16"/>
      <c r="B28" s="16"/>
      <c r="C28" s="16"/>
      <c r="D28" s="16"/>
      <c r="E28" s="16"/>
      <c r="F28" s="16"/>
    </row>
    <row r="29" spans="1:6" x14ac:dyDescent="0.3">
      <c r="A29" s="13">
        <v>1</v>
      </c>
      <c r="B29" s="13" t="s">
        <v>141</v>
      </c>
      <c r="C29" s="13">
        <v>15</v>
      </c>
      <c r="D29" s="13" t="s">
        <v>142</v>
      </c>
      <c r="E29" s="39">
        <v>44599</v>
      </c>
      <c r="F29" s="28">
        <f>SUM(C29:C35)/60</f>
        <v>8.4166666666666661</v>
      </c>
    </row>
    <row r="30" spans="1:6" x14ac:dyDescent="0.3">
      <c r="A30" s="13">
        <v>2</v>
      </c>
      <c r="B30" s="13" t="s">
        <v>143</v>
      </c>
      <c r="C30" s="13">
        <v>45</v>
      </c>
      <c r="D30" s="13" t="s">
        <v>145</v>
      </c>
      <c r="E30" s="40"/>
      <c r="F30" s="29"/>
    </row>
    <row r="31" spans="1:6" ht="28.8" x14ac:dyDescent="0.3">
      <c r="A31" s="13">
        <v>3</v>
      </c>
      <c r="B31" s="21" t="s">
        <v>144</v>
      </c>
      <c r="C31" s="13">
        <v>30</v>
      </c>
      <c r="D31" s="13" t="s">
        <v>146</v>
      </c>
      <c r="E31" s="40"/>
      <c r="F31" s="29"/>
    </row>
    <row r="32" spans="1:6" x14ac:dyDescent="0.3">
      <c r="A32" s="13">
        <v>4</v>
      </c>
      <c r="B32" s="13" t="s">
        <v>143</v>
      </c>
      <c r="C32" s="13">
        <v>30</v>
      </c>
      <c r="D32" s="13" t="s">
        <v>147</v>
      </c>
      <c r="E32" s="40"/>
      <c r="F32" s="29"/>
    </row>
    <row r="33" spans="1:6" x14ac:dyDescent="0.3">
      <c r="A33" s="13">
        <v>5</v>
      </c>
      <c r="B33" s="13" t="s">
        <v>114</v>
      </c>
      <c r="C33" s="13">
        <v>15</v>
      </c>
      <c r="D33" s="13" t="s">
        <v>134</v>
      </c>
      <c r="E33" s="40"/>
      <c r="F33" s="29"/>
    </row>
    <row r="34" spans="1:6" ht="28.8" x14ac:dyDescent="0.3">
      <c r="A34" s="13">
        <v>6</v>
      </c>
      <c r="B34" s="21" t="s">
        <v>144</v>
      </c>
      <c r="C34" s="13">
        <v>330</v>
      </c>
      <c r="D34" s="13" t="s">
        <v>148</v>
      </c>
      <c r="E34" s="40"/>
      <c r="F34" s="29"/>
    </row>
    <row r="35" spans="1:6" x14ac:dyDescent="0.3">
      <c r="A35" s="13">
        <v>7</v>
      </c>
      <c r="B35" s="21" t="s">
        <v>116</v>
      </c>
      <c r="C35" s="13">
        <v>40</v>
      </c>
      <c r="D35" s="13" t="s">
        <v>161</v>
      </c>
      <c r="E35" s="41"/>
      <c r="F35" s="30"/>
    </row>
    <row r="36" spans="1:6" ht="4.2" customHeight="1" x14ac:dyDescent="0.3">
      <c r="A36" s="16"/>
      <c r="B36" s="16"/>
      <c r="C36" s="16"/>
      <c r="D36" s="16"/>
      <c r="E36" s="16"/>
      <c r="F36" s="16"/>
    </row>
    <row r="37" spans="1:6" x14ac:dyDescent="0.3">
      <c r="A37" s="13">
        <v>1</v>
      </c>
      <c r="B37" s="13" t="s">
        <v>143</v>
      </c>
      <c r="C37" s="13">
        <v>90</v>
      </c>
      <c r="D37" s="13" t="s">
        <v>150</v>
      </c>
      <c r="E37" s="39">
        <v>44600</v>
      </c>
      <c r="F37" s="28">
        <f>SUM(C37:C41)/60</f>
        <v>8.3333333333333339</v>
      </c>
    </row>
    <row r="38" spans="1:6" ht="28.8" x14ac:dyDescent="0.3">
      <c r="A38" s="13">
        <v>2</v>
      </c>
      <c r="B38" s="21" t="s">
        <v>144</v>
      </c>
      <c r="C38" s="13">
        <v>150</v>
      </c>
      <c r="D38" s="13" t="s">
        <v>149</v>
      </c>
      <c r="E38" s="40"/>
      <c r="F38" s="29"/>
    </row>
    <row r="39" spans="1:6" ht="28.8" x14ac:dyDescent="0.3">
      <c r="A39" s="13">
        <v>3</v>
      </c>
      <c r="B39" s="21" t="s">
        <v>144</v>
      </c>
      <c r="C39" s="13">
        <v>15</v>
      </c>
      <c r="D39" s="13" t="s">
        <v>151</v>
      </c>
      <c r="E39" s="40"/>
      <c r="F39" s="29"/>
    </row>
    <row r="40" spans="1:6" x14ac:dyDescent="0.3">
      <c r="A40" s="13">
        <v>4</v>
      </c>
      <c r="B40" s="13" t="s">
        <v>114</v>
      </c>
      <c r="C40" s="13">
        <v>15</v>
      </c>
      <c r="D40" s="13" t="s">
        <v>152</v>
      </c>
      <c r="E40" s="40"/>
      <c r="F40" s="29"/>
    </row>
    <row r="41" spans="1:6" ht="28.8" x14ac:dyDescent="0.3">
      <c r="A41" s="13">
        <v>5</v>
      </c>
      <c r="B41" s="21" t="s">
        <v>153</v>
      </c>
      <c r="C41" s="13">
        <v>230</v>
      </c>
      <c r="D41" s="13" t="s">
        <v>160</v>
      </c>
      <c r="E41" s="41"/>
      <c r="F41" s="30"/>
    </row>
    <row r="42" spans="1:6" ht="3" customHeight="1" x14ac:dyDescent="0.3">
      <c r="A42" s="16"/>
      <c r="B42" s="16"/>
      <c r="C42" s="16"/>
      <c r="D42" s="16"/>
      <c r="E42" s="16"/>
      <c r="F42" s="16"/>
    </row>
    <row r="43" spans="1:6" ht="28.8" x14ac:dyDescent="0.3">
      <c r="A43" s="13">
        <v>1</v>
      </c>
      <c r="B43" s="21" t="s">
        <v>153</v>
      </c>
      <c r="C43" s="13">
        <v>120</v>
      </c>
      <c r="D43" s="13" t="s">
        <v>154</v>
      </c>
      <c r="E43" s="39">
        <v>44601</v>
      </c>
      <c r="F43" s="28">
        <f>SUM(C43:C48)/60</f>
        <v>8.5</v>
      </c>
    </row>
    <row r="44" spans="1:6" ht="28.8" x14ac:dyDescent="0.3">
      <c r="A44" s="13">
        <v>2</v>
      </c>
      <c r="B44" s="21" t="s">
        <v>153</v>
      </c>
      <c r="C44" s="13">
        <v>90</v>
      </c>
      <c r="D44" s="13" t="s">
        <v>155</v>
      </c>
      <c r="E44" s="40"/>
      <c r="F44" s="29"/>
    </row>
    <row r="45" spans="1:6" ht="28.8" x14ac:dyDescent="0.3">
      <c r="A45" s="13">
        <v>3</v>
      </c>
      <c r="B45" s="21" t="s">
        <v>153</v>
      </c>
      <c r="C45" s="13">
        <v>90</v>
      </c>
      <c r="D45" s="13" t="s">
        <v>156</v>
      </c>
      <c r="E45" s="40"/>
      <c r="F45" s="29"/>
    </row>
    <row r="46" spans="1:6" x14ac:dyDescent="0.3">
      <c r="A46" s="13">
        <v>4</v>
      </c>
      <c r="B46" s="21" t="s">
        <v>157</v>
      </c>
      <c r="C46" s="13">
        <v>15</v>
      </c>
      <c r="D46" s="13" t="s">
        <v>158</v>
      </c>
      <c r="E46" s="40"/>
      <c r="F46" s="29"/>
    </row>
    <row r="47" spans="1:6" ht="28.8" x14ac:dyDescent="0.3">
      <c r="A47" s="13">
        <v>5</v>
      </c>
      <c r="B47" s="21" t="s">
        <v>153</v>
      </c>
      <c r="C47" s="13">
        <v>120</v>
      </c>
      <c r="D47" s="13" t="s">
        <v>159</v>
      </c>
      <c r="E47" s="40"/>
      <c r="F47" s="29"/>
    </row>
    <row r="48" spans="1:6" ht="28.8" x14ac:dyDescent="0.3">
      <c r="A48" s="13">
        <v>5</v>
      </c>
      <c r="B48" s="21" t="s">
        <v>153</v>
      </c>
      <c r="C48" s="13">
        <v>75</v>
      </c>
      <c r="D48" s="13" t="s">
        <v>163</v>
      </c>
      <c r="E48" s="41"/>
      <c r="F48" s="30"/>
    </row>
    <row r="49" spans="1:6" ht="7.8" customHeight="1" x14ac:dyDescent="0.3">
      <c r="A49" s="16"/>
      <c r="B49" s="16"/>
      <c r="C49" s="16"/>
      <c r="D49" s="16"/>
      <c r="E49" s="16"/>
      <c r="F49" s="16"/>
    </row>
    <row r="50" spans="1:6" ht="28.8" x14ac:dyDescent="0.3">
      <c r="A50" s="13">
        <v>1</v>
      </c>
      <c r="B50" s="21" t="s">
        <v>153</v>
      </c>
      <c r="C50" s="13">
        <v>390</v>
      </c>
      <c r="D50" s="13" t="s">
        <v>164</v>
      </c>
      <c r="E50" s="39">
        <v>44602</v>
      </c>
      <c r="F50" s="28">
        <f>SUM(C50:C54)/60</f>
        <v>8.75</v>
      </c>
    </row>
    <row r="51" spans="1:6" x14ac:dyDescent="0.3">
      <c r="A51" s="13">
        <v>2</v>
      </c>
      <c r="B51" s="21" t="s">
        <v>165</v>
      </c>
      <c r="C51" s="13">
        <v>15</v>
      </c>
      <c r="D51" s="13" t="s">
        <v>166</v>
      </c>
      <c r="E51" s="40"/>
      <c r="F51" s="29"/>
    </row>
    <row r="52" spans="1:6" x14ac:dyDescent="0.3">
      <c r="A52" s="13">
        <v>3</v>
      </c>
      <c r="B52" s="21" t="s">
        <v>167</v>
      </c>
      <c r="C52" s="13">
        <v>60</v>
      </c>
      <c r="D52" s="13" t="s">
        <v>168</v>
      </c>
      <c r="E52" s="40"/>
      <c r="F52" s="29"/>
    </row>
    <row r="53" spans="1:6" x14ac:dyDescent="0.3">
      <c r="A53" s="13">
        <v>4</v>
      </c>
      <c r="B53" s="21" t="s">
        <v>171</v>
      </c>
      <c r="C53" s="13">
        <v>30</v>
      </c>
      <c r="D53" s="13" t="s">
        <v>170</v>
      </c>
      <c r="E53" s="40"/>
      <c r="F53" s="29"/>
    </row>
    <row r="54" spans="1:6" x14ac:dyDescent="0.3">
      <c r="A54" s="13">
        <v>5</v>
      </c>
      <c r="B54" s="21" t="s">
        <v>169</v>
      </c>
      <c r="C54" s="13">
        <v>30</v>
      </c>
      <c r="D54" s="13" t="s">
        <v>170</v>
      </c>
      <c r="E54" s="40"/>
      <c r="F54" s="29"/>
    </row>
    <row r="55" spans="1:6" ht="7.2" customHeight="1" x14ac:dyDescent="0.3">
      <c r="A55" s="16"/>
      <c r="B55" s="16"/>
      <c r="C55" s="16"/>
      <c r="D55" s="16"/>
      <c r="E55" s="16"/>
      <c r="F55" s="16"/>
    </row>
    <row r="56" spans="1:6" ht="28.8" x14ac:dyDescent="0.3">
      <c r="A56" s="13">
        <v>1</v>
      </c>
      <c r="B56" s="21" t="s">
        <v>172</v>
      </c>
      <c r="C56" s="13">
        <v>195</v>
      </c>
      <c r="D56" s="13" t="s">
        <v>177</v>
      </c>
      <c r="E56" s="39">
        <v>44603</v>
      </c>
      <c r="F56" s="28">
        <f>SUM(C56:C60)/60</f>
        <v>8</v>
      </c>
    </row>
    <row r="57" spans="1:6" x14ac:dyDescent="0.3">
      <c r="A57" s="13">
        <v>2</v>
      </c>
      <c r="B57" s="21" t="s">
        <v>165</v>
      </c>
      <c r="C57" s="13">
        <v>15</v>
      </c>
      <c r="D57" s="13" t="s">
        <v>166</v>
      </c>
      <c r="E57" s="40"/>
      <c r="F57" s="29"/>
    </row>
    <row r="58" spans="1:6" ht="28.8" x14ac:dyDescent="0.3">
      <c r="A58" s="13">
        <v>3</v>
      </c>
      <c r="B58" s="21" t="s">
        <v>172</v>
      </c>
      <c r="C58" s="13">
        <v>30</v>
      </c>
      <c r="D58" s="13" t="s">
        <v>173</v>
      </c>
      <c r="E58" s="40"/>
      <c r="F58" s="29"/>
    </row>
    <row r="59" spans="1:6" x14ac:dyDescent="0.3">
      <c r="A59" s="13">
        <v>4</v>
      </c>
      <c r="B59" s="21" t="s">
        <v>174</v>
      </c>
      <c r="C59" s="13">
        <v>120</v>
      </c>
      <c r="D59" s="13" t="s">
        <v>175</v>
      </c>
      <c r="E59" s="40"/>
      <c r="F59" s="29"/>
    </row>
    <row r="60" spans="1:6" x14ac:dyDescent="0.3">
      <c r="A60" s="13">
        <v>5</v>
      </c>
      <c r="B60" s="21" t="s">
        <v>174</v>
      </c>
      <c r="C60" s="13">
        <v>120</v>
      </c>
      <c r="D60" s="13" t="s">
        <v>176</v>
      </c>
      <c r="E60" s="40"/>
      <c r="F60" s="29"/>
    </row>
    <row r="61" spans="1:6" ht="3.6" customHeight="1" x14ac:dyDescent="0.3">
      <c r="A61" s="16"/>
      <c r="B61" s="16"/>
      <c r="C61" s="16"/>
      <c r="D61" s="16"/>
      <c r="E61" s="16"/>
      <c r="F61" s="16"/>
    </row>
    <row r="62" spans="1:6" x14ac:dyDescent="0.3">
      <c r="A62" s="13">
        <v>1</v>
      </c>
      <c r="B62" s="21" t="s">
        <v>174</v>
      </c>
      <c r="C62" s="13">
        <v>60</v>
      </c>
      <c r="D62" s="13" t="s">
        <v>178</v>
      </c>
      <c r="E62" s="37">
        <v>44606</v>
      </c>
      <c r="F62" s="38">
        <f>SUM(C62:C66)/60</f>
        <v>8.9166666666666661</v>
      </c>
    </row>
    <row r="63" spans="1:6" x14ac:dyDescent="0.3">
      <c r="A63" s="13">
        <v>2</v>
      </c>
      <c r="B63" s="20" t="s">
        <v>179</v>
      </c>
      <c r="C63" s="19">
        <v>300</v>
      </c>
      <c r="D63" s="19" t="s">
        <v>180</v>
      </c>
      <c r="E63" s="37"/>
      <c r="F63" s="38"/>
    </row>
    <row r="64" spans="1:6" x14ac:dyDescent="0.3">
      <c r="A64" s="13">
        <v>3</v>
      </c>
      <c r="B64" s="21" t="s">
        <v>165</v>
      </c>
      <c r="C64" s="13">
        <v>20</v>
      </c>
      <c r="D64" s="13" t="s">
        <v>181</v>
      </c>
      <c r="E64" s="37"/>
      <c r="F64" s="38"/>
    </row>
    <row r="65" spans="1:6" x14ac:dyDescent="0.3">
      <c r="A65" s="13">
        <v>4</v>
      </c>
      <c r="B65" s="21" t="s">
        <v>182</v>
      </c>
      <c r="C65" s="13">
        <v>30</v>
      </c>
      <c r="D65" s="13" t="s">
        <v>183</v>
      </c>
      <c r="E65" s="37"/>
      <c r="F65" s="38"/>
    </row>
    <row r="66" spans="1:6" x14ac:dyDescent="0.3">
      <c r="A66" s="13">
        <v>5</v>
      </c>
      <c r="B66" s="20" t="s">
        <v>179</v>
      </c>
      <c r="C66" s="13">
        <v>125</v>
      </c>
      <c r="D66" s="13" t="s">
        <v>184</v>
      </c>
      <c r="E66" s="37"/>
      <c r="F66" s="38"/>
    </row>
    <row r="67" spans="1:6" ht="2.4" customHeight="1" x14ac:dyDescent="0.3">
      <c r="A67" s="16"/>
      <c r="B67" s="16"/>
      <c r="C67" s="16"/>
      <c r="D67" s="16"/>
      <c r="E67" s="16"/>
      <c r="F67" s="16"/>
    </row>
    <row r="68" spans="1:6" x14ac:dyDescent="0.3">
      <c r="A68" s="13">
        <v>1</v>
      </c>
      <c r="B68" s="22" t="s">
        <v>186</v>
      </c>
      <c r="C68" s="13">
        <v>120</v>
      </c>
      <c r="D68" s="13" t="s">
        <v>185</v>
      </c>
      <c r="E68" s="37">
        <v>44607</v>
      </c>
      <c r="F68" s="38">
        <f>SUM(C68:C73)/60</f>
        <v>9</v>
      </c>
    </row>
    <row r="69" spans="1:6" x14ac:dyDescent="0.3">
      <c r="A69" s="13">
        <v>2</v>
      </c>
      <c r="B69" s="20" t="s">
        <v>179</v>
      </c>
      <c r="C69" s="13">
        <v>195</v>
      </c>
      <c r="D69" s="13" t="s">
        <v>190</v>
      </c>
      <c r="E69" s="37"/>
      <c r="F69" s="38"/>
    </row>
    <row r="70" spans="1:6" x14ac:dyDescent="0.3">
      <c r="A70" s="13">
        <v>3</v>
      </c>
      <c r="B70" s="21" t="s">
        <v>165</v>
      </c>
      <c r="C70" s="13">
        <v>15</v>
      </c>
      <c r="D70" s="13" t="s">
        <v>166</v>
      </c>
      <c r="E70" s="37"/>
      <c r="F70" s="38"/>
    </row>
    <row r="71" spans="1:6" x14ac:dyDescent="0.3">
      <c r="A71" s="13">
        <v>4</v>
      </c>
      <c r="B71" s="22" t="s">
        <v>186</v>
      </c>
      <c r="C71" s="13">
        <v>30</v>
      </c>
      <c r="D71" s="13" t="s">
        <v>187</v>
      </c>
      <c r="E71" s="37"/>
      <c r="F71" s="38"/>
    </row>
    <row r="72" spans="1:6" x14ac:dyDescent="0.3">
      <c r="A72" s="13">
        <v>5</v>
      </c>
      <c r="B72" s="20" t="s">
        <v>179</v>
      </c>
      <c r="C72" s="13">
        <v>150</v>
      </c>
      <c r="D72" s="13" t="s">
        <v>188</v>
      </c>
      <c r="E72" s="37"/>
      <c r="F72" s="38"/>
    </row>
    <row r="73" spans="1:6" x14ac:dyDescent="0.3">
      <c r="A73" s="13">
        <v>6</v>
      </c>
      <c r="B73" s="22" t="s">
        <v>189</v>
      </c>
      <c r="C73" s="13">
        <v>30</v>
      </c>
      <c r="D73" s="13" t="s">
        <v>191</v>
      </c>
      <c r="E73" s="37"/>
      <c r="F73" s="38"/>
    </row>
    <row r="74" spans="1:6" ht="2.4" customHeight="1" x14ac:dyDescent="0.3">
      <c r="A74" s="16"/>
      <c r="B74" s="16"/>
      <c r="C74" s="16"/>
      <c r="D74" s="16"/>
      <c r="E74" s="16"/>
      <c r="F74" s="16"/>
    </row>
    <row r="75" spans="1:6" x14ac:dyDescent="0.3">
      <c r="A75" s="13">
        <v>1</v>
      </c>
      <c r="B75" s="20" t="s">
        <v>179</v>
      </c>
      <c r="C75" s="13">
        <v>120</v>
      </c>
      <c r="D75" s="13" t="s">
        <v>185</v>
      </c>
      <c r="E75" s="37">
        <v>44608</v>
      </c>
      <c r="F75" s="38">
        <f>SUM(C75:C81)/60</f>
        <v>8.75</v>
      </c>
    </row>
    <row r="76" spans="1:6" x14ac:dyDescent="0.3">
      <c r="A76" s="13">
        <v>2</v>
      </c>
      <c r="B76" s="21" t="s">
        <v>192</v>
      </c>
      <c r="C76" s="13">
        <v>120</v>
      </c>
      <c r="D76" s="13" t="s">
        <v>193</v>
      </c>
      <c r="E76" s="37"/>
      <c r="F76" s="38"/>
    </row>
    <row r="77" spans="1:6" x14ac:dyDescent="0.3">
      <c r="A77" s="13">
        <v>3</v>
      </c>
      <c r="B77" s="21" t="s">
        <v>165</v>
      </c>
      <c r="C77" s="13">
        <v>15</v>
      </c>
      <c r="D77" s="13" t="s">
        <v>166</v>
      </c>
      <c r="E77" s="37"/>
      <c r="F77" s="38"/>
    </row>
    <row r="78" spans="1:6" x14ac:dyDescent="0.3">
      <c r="A78" s="13">
        <v>4</v>
      </c>
      <c r="B78" s="22" t="s">
        <v>186</v>
      </c>
      <c r="C78" s="13">
        <v>30</v>
      </c>
      <c r="D78" s="13" t="s">
        <v>187</v>
      </c>
      <c r="E78" s="37"/>
      <c r="F78" s="38"/>
    </row>
    <row r="79" spans="1:6" x14ac:dyDescent="0.3">
      <c r="A79" s="13">
        <v>5</v>
      </c>
      <c r="B79" s="20" t="s">
        <v>179</v>
      </c>
      <c r="C79" s="13">
        <v>150</v>
      </c>
      <c r="D79" s="13" t="s">
        <v>188</v>
      </c>
      <c r="E79" s="37"/>
      <c r="F79" s="38"/>
    </row>
    <row r="80" spans="1:6" x14ac:dyDescent="0.3">
      <c r="A80" s="13">
        <v>6</v>
      </c>
      <c r="B80" s="22" t="s">
        <v>194</v>
      </c>
      <c r="C80" s="13">
        <v>30</v>
      </c>
      <c r="D80" s="13" t="s">
        <v>191</v>
      </c>
      <c r="E80" s="37"/>
      <c r="F80" s="38"/>
    </row>
    <row r="81" spans="1:6" x14ac:dyDescent="0.3">
      <c r="A81" s="13">
        <v>7</v>
      </c>
      <c r="B81" s="22" t="s">
        <v>179</v>
      </c>
      <c r="C81" s="13">
        <v>60</v>
      </c>
      <c r="D81" s="13" t="s">
        <v>195</v>
      </c>
      <c r="E81" s="37"/>
      <c r="F81" s="38"/>
    </row>
    <row r="82" spans="1:6" ht="2.4" customHeight="1" x14ac:dyDescent="0.3">
      <c r="A82" s="16"/>
      <c r="B82" s="16"/>
      <c r="C82" s="16"/>
      <c r="D82" s="16"/>
      <c r="E82" s="16"/>
      <c r="F82" s="16"/>
    </row>
    <row r="83" spans="1:6" x14ac:dyDescent="0.3">
      <c r="A83" s="13">
        <v>1</v>
      </c>
      <c r="B83" s="22" t="s">
        <v>179</v>
      </c>
      <c r="C83" s="13">
        <v>300</v>
      </c>
      <c r="D83" s="13" t="s">
        <v>197</v>
      </c>
      <c r="E83" s="37">
        <v>44609</v>
      </c>
      <c r="F83" s="38">
        <f>SUM(C83:C88)/60</f>
        <v>9.25</v>
      </c>
    </row>
    <row r="84" spans="1:6" x14ac:dyDescent="0.3">
      <c r="A84" s="13">
        <v>2</v>
      </c>
      <c r="B84" s="21" t="s">
        <v>165</v>
      </c>
      <c r="C84" s="13">
        <v>15</v>
      </c>
      <c r="D84" s="13" t="s">
        <v>166</v>
      </c>
      <c r="E84" s="37"/>
      <c r="F84" s="38"/>
    </row>
    <row r="85" spans="1:6" x14ac:dyDescent="0.3">
      <c r="A85" s="13">
        <v>3</v>
      </c>
      <c r="B85" s="22" t="s">
        <v>179</v>
      </c>
      <c r="C85" s="13">
        <v>60</v>
      </c>
      <c r="D85" s="13" t="s">
        <v>198</v>
      </c>
      <c r="E85" s="37"/>
      <c r="F85" s="38"/>
    </row>
    <row r="86" spans="1:6" x14ac:dyDescent="0.3">
      <c r="A86" s="13">
        <v>4</v>
      </c>
      <c r="B86" s="22" t="s">
        <v>189</v>
      </c>
      <c r="C86" s="13">
        <v>60</v>
      </c>
      <c r="D86" s="13" t="s">
        <v>199</v>
      </c>
      <c r="E86" s="37"/>
      <c r="F86" s="38"/>
    </row>
    <row r="87" spans="1:6" x14ac:dyDescent="0.3">
      <c r="A87" s="13">
        <v>5</v>
      </c>
      <c r="B87" s="20" t="s">
        <v>179</v>
      </c>
      <c r="C87" s="13">
        <v>60</v>
      </c>
      <c r="D87" s="13" t="s">
        <v>200</v>
      </c>
      <c r="E87" s="37"/>
      <c r="F87" s="38"/>
    </row>
    <row r="88" spans="1:6" x14ac:dyDescent="0.3">
      <c r="A88" s="13">
        <v>6</v>
      </c>
      <c r="B88" s="22" t="s">
        <v>126</v>
      </c>
      <c r="C88" s="13">
        <v>60</v>
      </c>
      <c r="D88" s="13" t="s">
        <v>201</v>
      </c>
      <c r="E88" s="37"/>
      <c r="F88" s="38"/>
    </row>
    <row r="89" spans="1:6" ht="1.8" customHeight="1" x14ac:dyDescent="0.3">
      <c r="A89" s="16"/>
      <c r="B89" s="16"/>
      <c r="C89" s="16"/>
      <c r="D89" s="16"/>
      <c r="E89" s="16"/>
      <c r="F89" s="16"/>
    </row>
    <row r="90" spans="1:6" x14ac:dyDescent="0.3">
      <c r="A90" s="13">
        <v>1</v>
      </c>
      <c r="B90" s="22" t="s">
        <v>179</v>
      </c>
      <c r="C90" s="13">
        <v>360</v>
      </c>
      <c r="D90" s="13" t="s">
        <v>202</v>
      </c>
      <c r="E90" s="37">
        <v>44610</v>
      </c>
      <c r="F90" s="38">
        <f>SUM(C90:C93)/60</f>
        <v>8.5</v>
      </c>
    </row>
    <row r="91" spans="1:6" x14ac:dyDescent="0.3">
      <c r="A91" s="13">
        <v>2</v>
      </c>
      <c r="B91" s="21" t="s">
        <v>203</v>
      </c>
      <c r="C91" s="13">
        <v>60</v>
      </c>
      <c r="D91" s="13" t="s">
        <v>204</v>
      </c>
      <c r="E91" s="37"/>
      <c r="F91" s="38"/>
    </row>
    <row r="92" spans="1:6" x14ac:dyDescent="0.3">
      <c r="A92" s="13">
        <v>3</v>
      </c>
      <c r="B92" s="22" t="s">
        <v>205</v>
      </c>
      <c r="C92" s="13">
        <v>60</v>
      </c>
      <c r="D92" s="13" t="s">
        <v>199</v>
      </c>
      <c r="E92" s="37"/>
      <c r="F92" s="38"/>
    </row>
    <row r="93" spans="1:6" x14ac:dyDescent="0.3">
      <c r="A93" s="13">
        <v>4</v>
      </c>
      <c r="B93" s="22" t="s">
        <v>206</v>
      </c>
      <c r="C93" s="13">
        <v>30</v>
      </c>
      <c r="D93" s="13" t="s">
        <v>207</v>
      </c>
      <c r="E93" s="37"/>
      <c r="F93" s="38"/>
    </row>
    <row r="94" spans="1:6" ht="1.8" customHeight="1" x14ac:dyDescent="0.3">
      <c r="A94" s="16"/>
      <c r="B94" s="16"/>
      <c r="C94" s="16"/>
      <c r="D94" s="16"/>
      <c r="E94" s="16"/>
      <c r="F94" s="16"/>
    </row>
    <row r="95" spans="1:6" x14ac:dyDescent="0.3">
      <c r="A95" s="13">
        <v>1</v>
      </c>
      <c r="B95" s="22" t="s">
        <v>205</v>
      </c>
      <c r="C95" s="13">
        <v>240</v>
      </c>
      <c r="D95" s="13" t="s">
        <v>196</v>
      </c>
      <c r="E95" s="37">
        <v>44613</v>
      </c>
      <c r="F95" s="38">
        <f>SUM(C95:C97)/60</f>
        <v>8.25</v>
      </c>
    </row>
    <row r="96" spans="1:6" x14ac:dyDescent="0.3">
      <c r="A96" s="13">
        <v>2</v>
      </c>
      <c r="B96" s="21" t="s">
        <v>165</v>
      </c>
      <c r="C96" s="13">
        <v>15</v>
      </c>
      <c r="D96" s="13" t="s">
        <v>158</v>
      </c>
      <c r="E96" s="37"/>
      <c r="F96" s="38"/>
    </row>
    <row r="97" spans="1:6" x14ac:dyDescent="0.3">
      <c r="A97" s="13">
        <v>3</v>
      </c>
      <c r="B97" s="22" t="s">
        <v>205</v>
      </c>
      <c r="C97" s="13">
        <v>240</v>
      </c>
      <c r="D97" s="13" t="s">
        <v>221</v>
      </c>
      <c r="E97" s="37"/>
      <c r="F97" s="38"/>
    </row>
    <row r="98" spans="1:6" ht="1.8" customHeight="1" x14ac:dyDescent="0.3">
      <c r="A98" s="16"/>
      <c r="B98" s="16"/>
      <c r="C98" s="16"/>
      <c r="D98" s="16"/>
      <c r="E98" s="16"/>
      <c r="F98" s="16"/>
    </row>
    <row r="99" spans="1:6" x14ac:dyDescent="0.3">
      <c r="A99" s="13">
        <v>1</v>
      </c>
      <c r="B99" s="22" t="s">
        <v>225</v>
      </c>
      <c r="C99" s="13">
        <v>90</v>
      </c>
      <c r="D99" s="13" t="s">
        <v>223</v>
      </c>
      <c r="E99" s="37">
        <v>44614</v>
      </c>
      <c r="F99" s="38">
        <f>SUM(C99:C106)/60</f>
        <v>8.25</v>
      </c>
    </row>
    <row r="100" spans="1:6" x14ac:dyDescent="0.3">
      <c r="A100" s="13">
        <v>2</v>
      </c>
      <c r="B100" s="21" t="s">
        <v>222</v>
      </c>
      <c r="C100" s="13">
        <v>90</v>
      </c>
      <c r="D100" s="13" t="s">
        <v>224</v>
      </c>
      <c r="E100" s="37"/>
      <c r="F100" s="38"/>
    </row>
    <row r="101" spans="1:6" x14ac:dyDescent="0.3">
      <c r="A101" s="13">
        <v>3</v>
      </c>
      <c r="B101" s="21" t="s">
        <v>179</v>
      </c>
      <c r="C101" s="13">
        <v>120</v>
      </c>
      <c r="D101" s="13" t="s">
        <v>226</v>
      </c>
      <c r="E101" s="37"/>
      <c r="F101" s="38"/>
    </row>
    <row r="102" spans="1:6" x14ac:dyDescent="0.3">
      <c r="A102" s="13">
        <v>4</v>
      </c>
      <c r="B102" s="22" t="s">
        <v>165</v>
      </c>
      <c r="C102" s="13">
        <v>15</v>
      </c>
      <c r="D102" s="13" t="s">
        <v>166</v>
      </c>
      <c r="E102" s="37"/>
      <c r="F102" s="38"/>
    </row>
    <row r="103" spans="1:6" x14ac:dyDescent="0.3">
      <c r="A103" s="13">
        <v>5</v>
      </c>
      <c r="B103" s="21" t="s">
        <v>227</v>
      </c>
      <c r="C103" s="13">
        <v>30</v>
      </c>
      <c r="D103" s="13" t="s">
        <v>228</v>
      </c>
      <c r="E103" s="37"/>
      <c r="F103" s="38"/>
    </row>
    <row r="104" spans="1:6" x14ac:dyDescent="0.3">
      <c r="A104" s="13">
        <v>6</v>
      </c>
      <c r="B104" s="21" t="s">
        <v>116</v>
      </c>
      <c r="C104" s="13">
        <v>30</v>
      </c>
      <c r="D104" s="13" t="s">
        <v>229</v>
      </c>
      <c r="E104" s="37"/>
      <c r="F104" s="38"/>
    </row>
    <row r="105" spans="1:6" x14ac:dyDescent="0.3">
      <c r="A105" s="13">
        <v>7</v>
      </c>
      <c r="B105" s="21" t="s">
        <v>179</v>
      </c>
      <c r="C105" s="13">
        <v>90</v>
      </c>
      <c r="D105" s="13" t="s">
        <v>230</v>
      </c>
      <c r="E105" s="37"/>
      <c r="F105" s="38"/>
    </row>
    <row r="106" spans="1:6" x14ac:dyDescent="0.3">
      <c r="A106" s="13">
        <v>4</v>
      </c>
      <c r="B106" s="22" t="s">
        <v>231</v>
      </c>
      <c r="C106" s="13">
        <v>30</v>
      </c>
      <c r="D106" s="13" t="s">
        <v>232</v>
      </c>
      <c r="E106" s="37"/>
      <c r="F106" s="38"/>
    </row>
    <row r="107" spans="1:6" ht="1.8" customHeight="1" x14ac:dyDescent="0.3">
      <c r="A107" s="16"/>
      <c r="B107" s="16"/>
      <c r="C107" s="16"/>
      <c r="D107" s="16"/>
      <c r="E107" s="16"/>
      <c r="F107" s="16"/>
    </row>
    <row r="108" spans="1:6" x14ac:dyDescent="0.3">
      <c r="A108" s="13">
        <v>1</v>
      </c>
      <c r="B108" s="22" t="s">
        <v>179</v>
      </c>
      <c r="C108" s="13">
        <v>360</v>
      </c>
      <c r="D108" s="13" t="s">
        <v>233</v>
      </c>
      <c r="E108" s="37">
        <v>44615</v>
      </c>
      <c r="F108" s="38">
        <f>SUM(C108:C111)/60</f>
        <v>9.25</v>
      </c>
    </row>
    <row r="109" spans="1:6" x14ac:dyDescent="0.3">
      <c r="A109" s="13">
        <v>2</v>
      </c>
      <c r="B109" s="21" t="s">
        <v>234</v>
      </c>
      <c r="C109" s="13">
        <v>60</v>
      </c>
      <c r="D109" s="13" t="s">
        <v>235</v>
      </c>
      <c r="E109" s="37"/>
      <c r="F109" s="38"/>
    </row>
    <row r="110" spans="1:6" x14ac:dyDescent="0.3">
      <c r="A110" s="13">
        <v>3</v>
      </c>
      <c r="B110" s="22" t="s">
        <v>114</v>
      </c>
      <c r="C110" s="13">
        <v>15</v>
      </c>
      <c r="D110" s="13" t="s">
        <v>236</v>
      </c>
      <c r="E110" s="37"/>
      <c r="F110" s="38"/>
    </row>
    <row r="111" spans="1:6" x14ac:dyDescent="0.3">
      <c r="A111" s="13">
        <v>4</v>
      </c>
      <c r="B111" s="22" t="s">
        <v>179</v>
      </c>
      <c r="C111" s="13">
        <v>120</v>
      </c>
      <c r="D111" s="13" t="s">
        <v>237</v>
      </c>
      <c r="E111" s="37"/>
      <c r="F111" s="38"/>
    </row>
    <row r="112" spans="1:6" ht="1.8" customHeight="1" x14ac:dyDescent="0.3">
      <c r="A112" s="16"/>
      <c r="B112" s="16"/>
      <c r="C112" s="16"/>
      <c r="D112" s="16"/>
      <c r="E112" s="16"/>
      <c r="F112" s="16"/>
    </row>
    <row r="113" spans="1:6" x14ac:dyDescent="0.3">
      <c r="A113" s="13">
        <v>1</v>
      </c>
      <c r="B113" s="22" t="s">
        <v>238</v>
      </c>
      <c r="C113" s="13">
        <v>255</v>
      </c>
      <c r="D113" s="13" t="s">
        <v>239</v>
      </c>
      <c r="E113" s="37">
        <v>44616</v>
      </c>
      <c r="F113" s="38">
        <f>SUM(C113:C116)/60</f>
        <v>8.25</v>
      </c>
    </row>
    <row r="114" spans="1:6" x14ac:dyDescent="0.3">
      <c r="A114" s="13">
        <v>2</v>
      </c>
      <c r="B114" s="22" t="s">
        <v>114</v>
      </c>
      <c r="C114" s="13">
        <v>15</v>
      </c>
      <c r="D114" s="13" t="s">
        <v>166</v>
      </c>
      <c r="E114" s="37"/>
      <c r="F114" s="38"/>
    </row>
    <row r="115" spans="1:6" x14ac:dyDescent="0.3">
      <c r="A115" s="13">
        <v>3</v>
      </c>
      <c r="B115" s="22" t="s">
        <v>189</v>
      </c>
      <c r="C115" s="13">
        <v>30</v>
      </c>
      <c r="D115" s="13" t="s">
        <v>187</v>
      </c>
      <c r="E115" s="37"/>
      <c r="F115" s="38"/>
    </row>
    <row r="116" spans="1:6" x14ac:dyDescent="0.3">
      <c r="A116" s="13">
        <v>4</v>
      </c>
      <c r="B116" s="22" t="s">
        <v>238</v>
      </c>
      <c r="C116" s="13">
        <v>195</v>
      </c>
      <c r="D116" s="13" t="s">
        <v>240</v>
      </c>
      <c r="E116" s="37"/>
      <c r="F116" s="38"/>
    </row>
    <row r="117" spans="1:6" ht="3" customHeight="1" x14ac:dyDescent="0.3">
      <c r="A117" s="16"/>
      <c r="B117" s="16"/>
      <c r="C117" s="16"/>
      <c r="D117" s="16"/>
      <c r="E117" s="16"/>
      <c r="F117" s="16"/>
    </row>
    <row r="118" spans="1:6" x14ac:dyDescent="0.3">
      <c r="A118" s="13">
        <v>1</v>
      </c>
      <c r="B118" s="22" t="s">
        <v>179</v>
      </c>
      <c r="C118" s="13"/>
      <c r="D118" s="13" t="s">
        <v>241</v>
      </c>
      <c r="E118" s="37">
        <v>44617</v>
      </c>
      <c r="F118" s="38">
        <f>SUM(C118:C121)/60</f>
        <v>0</v>
      </c>
    </row>
    <row r="119" spans="1:6" x14ac:dyDescent="0.3">
      <c r="A119" s="13">
        <v>2</v>
      </c>
      <c r="B119" s="22" t="s">
        <v>238</v>
      </c>
      <c r="C119" s="13"/>
      <c r="D119" s="13"/>
      <c r="E119" s="37"/>
      <c r="F119" s="38"/>
    </row>
    <row r="120" spans="1:6" x14ac:dyDescent="0.3">
      <c r="A120" s="13">
        <v>3</v>
      </c>
      <c r="B120" s="22" t="s">
        <v>205</v>
      </c>
      <c r="C120" s="13"/>
      <c r="D120" s="13"/>
      <c r="E120" s="37"/>
      <c r="F120" s="38"/>
    </row>
    <row r="121" spans="1:6" x14ac:dyDescent="0.3">
      <c r="A121" s="13">
        <v>4</v>
      </c>
      <c r="B121" s="22"/>
      <c r="C121" s="13"/>
      <c r="D121" s="13"/>
      <c r="E121" s="37"/>
      <c r="F121" s="38"/>
    </row>
  </sheetData>
  <mergeCells count="36">
    <mergeCell ref="E113:E116"/>
    <mergeCell ref="F113:F116"/>
    <mergeCell ref="E118:E121"/>
    <mergeCell ref="F118:F121"/>
    <mergeCell ref="E99:E106"/>
    <mergeCell ref="F99:F106"/>
    <mergeCell ref="E108:E111"/>
    <mergeCell ref="F108:F111"/>
    <mergeCell ref="E68:E73"/>
    <mergeCell ref="F68:F73"/>
    <mergeCell ref="E75:E81"/>
    <mergeCell ref="F75:F81"/>
    <mergeCell ref="E83:E88"/>
    <mergeCell ref="F83:F88"/>
    <mergeCell ref="E50:E54"/>
    <mergeCell ref="F50:F54"/>
    <mergeCell ref="E56:E60"/>
    <mergeCell ref="F56:F60"/>
    <mergeCell ref="E62:E66"/>
    <mergeCell ref="F62:F66"/>
    <mergeCell ref="E90:E93"/>
    <mergeCell ref="F90:F93"/>
    <mergeCell ref="E95:E97"/>
    <mergeCell ref="F95:F97"/>
    <mergeCell ref="E2:E14"/>
    <mergeCell ref="F2:F14"/>
    <mergeCell ref="E16:E23"/>
    <mergeCell ref="F16:F23"/>
    <mergeCell ref="E25:E27"/>
    <mergeCell ref="F25:F27"/>
    <mergeCell ref="E29:E35"/>
    <mergeCell ref="F29:F35"/>
    <mergeCell ref="E37:E41"/>
    <mergeCell ref="F37:F41"/>
    <mergeCell ref="E43:E48"/>
    <mergeCell ref="F43:F4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39851-39B5-4D2A-9307-B47C6C81D230}">
  <dimension ref="A1:E7"/>
  <sheetViews>
    <sheetView workbookViewId="0">
      <selection activeCell="D15" sqref="D15"/>
    </sheetView>
  </sheetViews>
  <sheetFormatPr defaultRowHeight="14.4" x14ac:dyDescent="0.3"/>
  <cols>
    <col min="1" max="1" width="4.88671875" bestFit="1" customWidth="1"/>
    <col min="2" max="2" width="39.44140625" bestFit="1" customWidth="1"/>
    <col min="3" max="3" width="8.88671875" bestFit="1" customWidth="1"/>
    <col min="4" max="4" width="12.33203125" customWidth="1"/>
    <col min="5" max="5" width="12.77734375" bestFit="1" customWidth="1"/>
  </cols>
  <sheetData>
    <row r="1" spans="1:5" x14ac:dyDescent="0.3">
      <c r="A1" s="23" t="s">
        <v>208</v>
      </c>
      <c r="B1" s="23" t="s">
        <v>209</v>
      </c>
      <c r="C1" s="23" t="s">
        <v>213</v>
      </c>
      <c r="D1" s="23" t="s">
        <v>110</v>
      </c>
      <c r="E1" s="23" t="s">
        <v>219</v>
      </c>
    </row>
    <row r="2" spans="1:5" x14ac:dyDescent="0.3">
      <c r="A2" s="13">
        <v>1</v>
      </c>
      <c r="B2" s="13" t="s">
        <v>217</v>
      </c>
      <c r="C2" s="13" t="s">
        <v>216</v>
      </c>
      <c r="D2" s="24">
        <v>44614</v>
      </c>
      <c r="E2" s="13" t="s">
        <v>220</v>
      </c>
    </row>
    <row r="3" spans="1:5" x14ac:dyDescent="0.3">
      <c r="A3" s="13">
        <v>2</v>
      </c>
      <c r="B3" s="13" t="s">
        <v>210</v>
      </c>
      <c r="C3" s="13" t="s">
        <v>216</v>
      </c>
      <c r="D3" s="24">
        <v>44615</v>
      </c>
      <c r="E3" s="13" t="s">
        <v>220</v>
      </c>
    </row>
    <row r="4" spans="1:5" x14ac:dyDescent="0.3">
      <c r="A4" s="13">
        <v>3</v>
      </c>
      <c r="B4" s="13" t="s">
        <v>211</v>
      </c>
      <c r="C4" s="13" t="s">
        <v>216</v>
      </c>
      <c r="D4" s="24">
        <v>44616</v>
      </c>
      <c r="E4" s="13" t="s">
        <v>220</v>
      </c>
    </row>
    <row r="5" spans="1:5" x14ac:dyDescent="0.3">
      <c r="A5" s="13">
        <v>4</v>
      </c>
      <c r="B5" s="13" t="s">
        <v>212</v>
      </c>
      <c r="C5" s="13" t="s">
        <v>218</v>
      </c>
      <c r="D5" s="13"/>
      <c r="E5" s="13"/>
    </row>
    <row r="6" spans="1:5" x14ac:dyDescent="0.3">
      <c r="A6" s="13">
        <v>5</v>
      </c>
      <c r="B6" s="13" t="s">
        <v>214</v>
      </c>
      <c r="C6" s="13" t="s">
        <v>218</v>
      </c>
      <c r="D6" s="13"/>
      <c r="E6" s="13"/>
    </row>
    <row r="7" spans="1:5" x14ac:dyDescent="0.3">
      <c r="A7" s="13">
        <v>6</v>
      </c>
      <c r="B7" s="13" t="s">
        <v>215</v>
      </c>
      <c r="C7" s="13" t="s">
        <v>218</v>
      </c>
      <c r="D7" s="13"/>
      <c r="E7"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2-Feb-2022</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 Dashnamoorthy</dc:creator>
  <cp:lastModifiedBy>Raja D</cp:lastModifiedBy>
  <dcterms:created xsi:type="dcterms:W3CDTF">2022-02-02T09:42:39Z</dcterms:created>
  <dcterms:modified xsi:type="dcterms:W3CDTF">2022-02-25T04:56:54Z</dcterms:modified>
</cp:coreProperties>
</file>